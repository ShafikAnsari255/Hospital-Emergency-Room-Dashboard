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afik\Desktop\"/>
    </mc:Choice>
  </mc:AlternateContent>
  <xr:revisionPtr revIDLastSave="0" documentId="13_ncr:1_{190A47D3-838D-4F94-AF78-D6D9B9DA6F9E}" xr6:coauthVersionLast="47" xr6:coauthVersionMax="47" xr10:uidLastSave="{00000000-0000-0000-0000-000000000000}"/>
  <bookViews>
    <workbookView xWindow="-120" yWindow="-120" windowWidth="20730" windowHeight="11160" activeTab="1" xr2:uid="{CD34E85E-4982-4AED-8485-7BD48FA1D541}"/>
  </bookViews>
  <sheets>
    <sheet name="Pivot Report" sheetId="1" r:id="rId1"/>
    <sheet name="Dashboard" sheetId="2" r:id="rId2"/>
    <sheet name="daily wait time daily trend" sheetId="4" r:id="rId3"/>
    <sheet name="Daily ER No of patient" sheetId="3"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2b6b0ca-e8fe-469e-9cec-bb6ee3ba3161" name="Hospital Emergency Room Data" connection="Query - Hospital Emergency Room Data"/>
          <x15:modelTable id="Calender_Table_a0543428-a61f-454d-9b9b-0e15ae4ef5c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8" i="1" l="1"/>
  <c r="C48" i="1"/>
  <c r="A48" i="1"/>
  <c r="B47" i="1"/>
  <c r="C47"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038261-DAC0-40D5-BB1D-9F11B821DEC1}" name="Query - Calender_Table" description="Connection to the 'Calender_Table' query in the workbook." type="100" refreshedVersion="7" minRefreshableVersion="5">
    <extLst>
      <ext xmlns:x15="http://schemas.microsoft.com/office/spreadsheetml/2010/11/main" uri="{DE250136-89BD-433C-8126-D09CA5730AF9}">
        <x15:connection id="e288ee22-f993-4edb-b7ee-f75f96c43276"/>
      </ext>
    </extLst>
  </connection>
  <connection id="2" xr16:uid="{B492F45D-F4CE-465A-90C8-F87045A90EED}"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52665c65-ea00-4d83-959a-c82832595470"/>
      </ext>
    </extLst>
  </connection>
  <connection id="3" xr16:uid="{154E8C48-4BBE-4D3A-AAA9-08FBE78610F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<sst xmlns="http://schemas.openxmlformats.org/spreadsheetml/2006/main" count="158" uniqueCount="77">
  <si>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</si>
  <si>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t>
  </si>
  <si>
    <t>Average of Patient Waittime</t>
  </si>
  <si>
    <t>Average of Patient Satisfaction Score</t>
  </si>
  <si>
    <t>Grand Total</t>
  </si>
  <si>
    <t>Row Labels</t>
  </si>
  <si>
    <t>daily trends of no of patient</t>
  </si>
  <si>
    <t>average wait time</t>
  </si>
  <si>
    <t>Use an area chart to track daily changes and highlight days with longer wait times that might need improvements</t>
  </si>
  <si>
    <t>Showing a daily trend with an area sparkline to spot pattern like busy days or seasonal trends.</t>
  </si>
  <si>
    <t xml:space="preserve"> Satisfaction score daily trend</t>
  </si>
  <si>
    <t>Use an area chat to show trends, spot drops in satisfaction, and link them to busy times or challenges.</t>
  </si>
  <si>
    <t>Count of Patient Admission Flag</t>
  </si>
  <si>
    <t>Admitted</t>
  </si>
  <si>
    <t>Not Admitted</t>
  </si>
  <si>
    <t>Count of Patient Admission Flag2</t>
  </si>
  <si>
    <t>Admission Status</t>
  </si>
  <si>
    <t>No. of Patient</t>
  </si>
  <si>
    <t>%Status</t>
  </si>
  <si>
    <t>0-9</t>
  </si>
  <si>
    <t>20-29</t>
  </si>
  <si>
    <t>30-39</t>
  </si>
  <si>
    <t>40-49</t>
  </si>
  <si>
    <t>50-59</t>
  </si>
  <si>
    <t>60-69</t>
  </si>
  <si>
    <t>70-79</t>
  </si>
  <si>
    <t>Count of Age Group</t>
  </si>
  <si>
    <t>Age group wise analysis</t>
  </si>
  <si>
    <t>Count of Patient Id</t>
  </si>
  <si>
    <t>Delay</t>
  </si>
  <si>
    <t>OnTime</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</si>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</sst>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rgb="FFFF0000"/>
      <name val="Calibri"/>
      <family val="2"/>
      <scheme val="minor"/>
    </font>
    <font>
      <sz val="11"/>
      <color theme="1"/>
      <name val="Calibri"/>
      <family val="2"/>
      <scheme val="minor"/>
    </font>
    <font>
      <sz val="11"/>
      <color theme="0"/>
      <name val="Calibri"/>
      <family val="2"/>
      <scheme val="minor"/>
    </font>
    <font>
      <sz val="12"/>
      <color rgb="FF00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
      <patternFill patternType="solid">
        <fgColor theme="4"/>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applyNumberFormat="1"/>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9" fontId="0" fillId="0" borderId="0" xfId="1" applyFont="1"/>
    <xf numFmtId="0" fontId="3" fillId="4" borderId="0" xfId="0" applyFont="1" applyFill="1"/>
    <xf numFmtId="0" fontId="0" fillId="5" borderId="0" xfId="0" applyFill="1"/>
    <xf numFmtId="0" fontId="3" fillId="4" borderId="0" xfId="0" applyFont="1"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0" fontId="4" fillId="0" borderId="0" xfId="0" applyFont="1"/>
  </cellXfs>
  <cellStyles count="2">
    <cellStyle name="Normal" xfId="0" builtinId="0"/>
    <cellStyle name="Percent" xfId="1" builtinId="5"/>
  </cellStyles>
  <dxfs count="18">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font>
        <b/>
        <color theme="1"/>
      </font>
      <border>
        <bottom style="thin">
          <color theme="9"/>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C7365C1F-DEE2-4C51-B0EF-A216DADD86BB}">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0"/>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0275503E-5C11-413B-97A8-4A323B9A463C}" type="CELLRANGE">
                  <a:rPr lang="en-US"/>
                  <a:pPr>
                    <a:defRPr sz="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6">
              <a:lumMod val="50000"/>
            </a:schemeClr>
          </a:solidFill>
          <a:ln>
            <a:noFill/>
          </a:ln>
          <a:effectLst/>
        </c:spPr>
        <c:dLbl>
          <c:idx val="0"/>
          <c:tx>
            <c:rich>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31D06942-DA9E-4C65-AFCD-4A830E30D62E}" type="CELLRANGE">
                  <a:rPr lang="en-US"/>
                  <a:pPr>
                    <a:defRPr sz="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4.4735239040678771E-3"/>
          <c:y val="7.407407407407407E-2"/>
          <c:w val="0.92277691436531872"/>
          <c:h val="0.8416746864975212"/>
        </c:manualLayout>
      </c:layout>
      <c:barChart>
        <c:barDir val="bar"/>
        <c:grouping val="clustered"/>
        <c:varyColors val="0"/>
        <c:ser>
          <c:idx val="0"/>
          <c:order val="0"/>
          <c:tx>
            <c:strRef>
              <c:f>'Pivot Report'!$B$39</c:f>
              <c:strCache>
                <c:ptCount val="1"/>
                <c:pt idx="0">
                  <c:v>Count of Patient Admission Flag</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1758-4150-84A6-037451B767BD}"/>
              </c:ext>
            </c:extLst>
          </c:dPt>
          <c:dPt>
            <c:idx val="1"/>
            <c:invertIfNegative val="0"/>
            <c:bubble3D val="0"/>
            <c:extLst>
              <c:ext xmlns:c16="http://schemas.microsoft.com/office/drawing/2014/chart" uri="{C3380CC4-5D6E-409C-BE32-E72D297353CC}">
                <c16:uniqueId val="{00000001-1758-4150-84A6-037451B767BD}"/>
              </c:ext>
            </c:extLst>
          </c:dPt>
          <c:dLbls>
            <c:dLbl>
              <c:idx val="0"/>
              <c:tx>
                <c:rich>
                  <a:bodyPr/>
                  <a:lstStyle/>
                  <a:p>
                    <a:fld id="{0275503E-5C11-413B-97A8-4A323B9A463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758-4150-84A6-037451B767BD}"/>
                </c:ext>
              </c:extLst>
            </c:dLbl>
            <c:dLbl>
              <c:idx val="1"/>
              <c:tx>
                <c:rich>
                  <a:bodyPr/>
                  <a:lstStyle/>
                  <a:p>
                    <a:fld id="{31D06942-DA9E-4C65-AFCD-4A830E30D62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758-4150-84A6-037451B767BD}"/>
                </c:ext>
              </c:extLst>
            </c:dLbl>
            <c:spPr>
              <a:noFill/>
              <a:ln>
                <a:noFill/>
              </a:ln>
              <a:effectLst/>
            </c:spPr>
            <c:txPr>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Report'!$A$40:$A$42</c:f>
              <c:strCache>
                <c:ptCount val="2"/>
                <c:pt idx="0">
                  <c:v>Admitted</c:v>
                </c:pt>
                <c:pt idx="1">
                  <c:v>Not Admitted</c:v>
                </c:pt>
              </c:strCache>
            </c:strRef>
          </c:cat>
          <c:val>
            <c:numRef>
              <c:f>'Pivot Report'!$B$40:$B$42</c:f>
              <c:numCache>
                <c:formatCode>0</c:formatCode>
                <c:ptCount val="2"/>
                <c:pt idx="0">
                  <c:v>266</c:v>
                </c:pt>
                <c:pt idx="1">
                  <c:v>253</c:v>
                </c:pt>
              </c:numCache>
            </c:numRef>
          </c:val>
          <c:extLst>
            <c:ext xmlns:c16="http://schemas.microsoft.com/office/drawing/2014/chart" uri="{C3380CC4-5D6E-409C-BE32-E72D297353CC}">
              <c16:uniqueId val="{00000003-7099-45B0-AF19-9B596C0A70F4}"/>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0.51252408477842004</c:v>
                </c:pt>
                <c:pt idx="1">
                  <c:v>0.48747591522157996</c:v>
                </c:pt>
              </c:numCache>
            </c:numRef>
          </c:val>
          <c:extLst>
            <c:ext xmlns:c16="http://schemas.microsoft.com/office/drawing/2014/chart" uri="{C3380CC4-5D6E-409C-BE32-E72D297353CC}">
              <c16:uniqueId val="{00000004-7099-45B0-AF19-9B596C0A70F4}"/>
            </c:ext>
          </c:extLst>
        </c:ser>
        <c:dLbls>
          <c:showLegendKey val="0"/>
          <c:showVal val="0"/>
          <c:showCatName val="0"/>
          <c:showSerName val="0"/>
          <c:showPercent val="0"/>
          <c:showBubbleSize val="0"/>
        </c:dLbls>
        <c:gapWidth val="180"/>
        <c:overlap val="85"/>
        <c:axId val="746405695"/>
        <c:axId val="746402367"/>
      </c:barChart>
      <c:catAx>
        <c:axId val="746405695"/>
        <c:scaling>
          <c:orientation val="minMax"/>
        </c:scaling>
        <c:delete val="1"/>
        <c:axPos val="l"/>
        <c:numFmt formatCode="General" sourceLinked="1"/>
        <c:majorTickMark val="none"/>
        <c:minorTickMark val="none"/>
        <c:tickLblPos val="nextTo"/>
        <c:crossAx val="746402367"/>
        <c:crosses val="autoZero"/>
        <c:auto val="1"/>
        <c:lblAlgn val="ctr"/>
        <c:lblOffset val="100"/>
        <c:noMultiLvlLbl val="0"/>
      </c:catAx>
      <c:valAx>
        <c:axId val="746402367"/>
        <c:scaling>
          <c:orientation val="minMax"/>
        </c:scaling>
        <c:delete val="1"/>
        <c:axPos val="b"/>
        <c:numFmt formatCode="0" sourceLinked="1"/>
        <c:majorTickMark val="none"/>
        <c:minorTickMark val="none"/>
        <c:tickLblPos val="nextTo"/>
        <c:crossAx val="7464056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8785151503364E-3"/>
          <c:y val="0"/>
          <c:w val="0.99658330708661413"/>
          <c:h val="1"/>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3998-4CA2-AC96-8C8E46528FD2}"/>
            </c:ext>
          </c:extLst>
        </c:ser>
        <c:dLbls>
          <c:showLegendKey val="0"/>
          <c:showVal val="0"/>
          <c:showCatName val="0"/>
          <c:showSerName val="0"/>
          <c:showPercent val="0"/>
          <c:showBubbleSize val="0"/>
        </c:dLbls>
        <c:axId val="967606320"/>
        <c:axId val="967599248"/>
      </c:areaChart>
      <c:catAx>
        <c:axId val="967606320"/>
        <c:scaling>
          <c:orientation val="minMax"/>
        </c:scaling>
        <c:delete val="1"/>
        <c:axPos val="b"/>
        <c:numFmt formatCode="General" sourceLinked="1"/>
        <c:majorTickMark val="out"/>
        <c:minorTickMark val="none"/>
        <c:tickLblPos val="nextTo"/>
        <c:crossAx val="967599248"/>
        <c:crosses val="autoZero"/>
        <c:auto val="1"/>
        <c:lblAlgn val="ctr"/>
        <c:lblOffset val="100"/>
        <c:noMultiLvlLbl val="0"/>
      </c:catAx>
      <c:valAx>
        <c:axId val="967599248"/>
        <c:scaling>
          <c:orientation val="minMax"/>
        </c:scaling>
        <c:delete val="1"/>
        <c:axPos val="l"/>
        <c:numFmt formatCode="General" sourceLinked="1"/>
        <c:majorTickMark val="none"/>
        <c:minorTickMark val="none"/>
        <c:tickLblPos val="nextTo"/>
        <c:crossAx val="96760632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8323987745044569E-2"/>
          <c:w val="1"/>
          <c:h val="0.90167601225495542"/>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B566-44C8-9393-372820209541}"/>
            </c:ext>
          </c:extLst>
        </c:ser>
        <c:dLbls>
          <c:showLegendKey val="0"/>
          <c:showVal val="0"/>
          <c:showCatName val="0"/>
          <c:showSerName val="0"/>
          <c:showPercent val="0"/>
          <c:showBubbleSize val="0"/>
        </c:dLbls>
        <c:axId val="997110959"/>
        <c:axId val="997118863"/>
      </c:areaChart>
      <c:catAx>
        <c:axId val="997110959"/>
        <c:scaling>
          <c:orientation val="minMax"/>
        </c:scaling>
        <c:delete val="1"/>
        <c:axPos val="b"/>
        <c:numFmt formatCode="General" sourceLinked="1"/>
        <c:majorTickMark val="out"/>
        <c:minorTickMark val="none"/>
        <c:tickLblPos val="nextTo"/>
        <c:crossAx val="997118863"/>
        <c:crosses val="autoZero"/>
        <c:auto val="1"/>
        <c:lblAlgn val="ctr"/>
        <c:lblOffset val="100"/>
        <c:noMultiLvlLbl val="0"/>
      </c:catAx>
      <c:valAx>
        <c:axId val="997118863"/>
        <c:scaling>
          <c:orientation val="minMax"/>
        </c:scaling>
        <c:delete val="1"/>
        <c:axPos val="l"/>
        <c:numFmt formatCode="0.00" sourceLinked="1"/>
        <c:majorTickMark val="none"/>
        <c:minorTickMark val="none"/>
        <c:tickLblPos val="nextTo"/>
        <c:crossAx val="9971109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0925865964609046E-2"/>
          <c:w val="1"/>
          <c:h val="0.94907407407407407"/>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pt idx="30">
                  <c:v>15-May</c:v>
                </c:pt>
              </c:strCache>
            </c:strRef>
          </c:cat>
          <c:val>
            <c:numRef>
              <c:f>'Pivot Report'!$J$5:$J$36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7.2</c:v>
                </c:pt>
                <c:pt idx="15">
                  <c:v>4.333333333333333</c:v>
                </c:pt>
                <c:pt idx="16">
                  <c:v>3.7777777777777777</c:v>
                </c:pt>
                <c:pt idx="17">
                  <c:v>3.6666666666666665</c:v>
                </c:pt>
                <c:pt idx="18">
                  <c:v>4</c:v>
                </c:pt>
                <c:pt idx="19">
                  <c:v>5.833333333333333</c:v>
                </c:pt>
                <c:pt idx="20">
                  <c:v>5.666666666666667</c:v>
                </c:pt>
                <c:pt idx="21">
                  <c:v>5.5</c:v>
                </c:pt>
                <c:pt idx="22">
                  <c:v>5.5</c:v>
                </c:pt>
                <c:pt idx="23">
                  <c:v>7</c:v>
                </c:pt>
                <c:pt idx="24">
                  <c:v>7</c:v>
                </c:pt>
                <c:pt idx="25">
                  <c:v>4</c:v>
                </c:pt>
                <c:pt idx="26">
                  <c:v>4.4444444444444446</c:v>
                </c:pt>
                <c:pt idx="27">
                  <c:v>4.8571428571428568</c:v>
                </c:pt>
                <c:pt idx="28">
                  <c:v>5.5714285714285712</c:v>
                </c:pt>
                <c:pt idx="29">
                  <c:v>6</c:v>
                </c:pt>
                <c:pt idx="30">
                  <c:v>4.2</c:v>
                </c:pt>
              </c:numCache>
            </c:numRef>
          </c:val>
          <c:extLst>
            <c:ext xmlns:c16="http://schemas.microsoft.com/office/drawing/2014/chart" uri="{C3380CC4-5D6E-409C-BE32-E72D297353CC}">
              <c16:uniqueId val="{00000001-CBB8-4EDC-8A24-32C41D9525B7}"/>
            </c:ext>
          </c:extLst>
        </c:ser>
        <c:dLbls>
          <c:showLegendKey val="0"/>
          <c:showVal val="0"/>
          <c:showCatName val="0"/>
          <c:showSerName val="0"/>
          <c:showPercent val="0"/>
          <c:showBubbleSize val="0"/>
        </c:dLbls>
        <c:axId val="997101807"/>
        <c:axId val="997114287"/>
      </c:areaChart>
      <c:catAx>
        <c:axId val="997101807"/>
        <c:scaling>
          <c:orientation val="minMax"/>
        </c:scaling>
        <c:delete val="1"/>
        <c:axPos val="b"/>
        <c:numFmt formatCode="General" sourceLinked="1"/>
        <c:majorTickMark val="out"/>
        <c:minorTickMark val="none"/>
        <c:tickLblPos val="nextTo"/>
        <c:crossAx val="997114287"/>
        <c:crosses val="autoZero"/>
        <c:auto val="1"/>
        <c:lblAlgn val="ctr"/>
        <c:lblOffset val="100"/>
        <c:noMultiLvlLbl val="0"/>
      </c:catAx>
      <c:valAx>
        <c:axId val="997114287"/>
        <c:scaling>
          <c:orientation val="minMax"/>
        </c:scaling>
        <c:delete val="1"/>
        <c:axPos val="l"/>
        <c:numFmt formatCode="0.00" sourceLinked="1"/>
        <c:majorTickMark val="none"/>
        <c:minorTickMark val="none"/>
        <c:tickLblPos val="nextTo"/>
        <c:crossAx val="997101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63144060858402E-4"/>
          <c:y val="7.0935678494733661E-3"/>
          <c:w val="0.99700374531835201"/>
          <c:h val="0.67781151846107734"/>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Report'!$A$53:$A$60</c:f>
              <c:strCache>
                <c:ptCount val="7"/>
                <c:pt idx="0">
                  <c:v>0-9</c:v>
                </c:pt>
                <c:pt idx="1">
                  <c:v>20-29</c:v>
                </c:pt>
                <c:pt idx="2">
                  <c:v>30-39</c:v>
                </c:pt>
                <c:pt idx="3">
                  <c:v>40-49</c:v>
                </c:pt>
                <c:pt idx="4">
                  <c:v>50-59</c:v>
                </c:pt>
                <c:pt idx="5">
                  <c:v>60-69</c:v>
                </c:pt>
                <c:pt idx="6">
                  <c:v>70-79</c:v>
                </c:pt>
              </c:strCache>
            </c:strRef>
          </c:cat>
          <c:val>
            <c:numRef>
              <c:f>'Pivot Report'!$B$53:$B$60</c:f>
              <c:numCache>
                <c:formatCode>0</c:formatCode>
                <c:ptCount val="7"/>
                <c:pt idx="0">
                  <c:v>137</c:v>
                </c:pt>
                <c:pt idx="1">
                  <c:v>74</c:v>
                </c:pt>
                <c:pt idx="2">
                  <c:v>71</c:v>
                </c:pt>
                <c:pt idx="3">
                  <c:v>58</c:v>
                </c:pt>
                <c:pt idx="4">
                  <c:v>68</c:v>
                </c:pt>
                <c:pt idx="5">
                  <c:v>62</c:v>
                </c:pt>
                <c:pt idx="6">
                  <c:v>49</c:v>
                </c:pt>
              </c:numCache>
            </c:numRef>
          </c:val>
          <c:extLst>
            <c:ext xmlns:c16="http://schemas.microsoft.com/office/drawing/2014/chart" uri="{C3380CC4-5D6E-409C-BE32-E72D297353CC}">
              <c16:uniqueId val="{00000001-E3EB-4804-9F6C-6750CED9248A}"/>
            </c:ext>
          </c:extLst>
        </c:ser>
        <c:dLbls>
          <c:showLegendKey val="0"/>
          <c:showVal val="0"/>
          <c:showCatName val="0"/>
          <c:showSerName val="0"/>
          <c:showPercent val="0"/>
          <c:showBubbleSize val="0"/>
        </c:dLbls>
        <c:gapWidth val="219"/>
        <c:overlap val="-27"/>
        <c:axId val="1420638943"/>
        <c:axId val="1420641439"/>
      </c:barChart>
      <c:catAx>
        <c:axId val="142063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0641439"/>
        <c:crosses val="autoZero"/>
        <c:auto val="1"/>
        <c:lblAlgn val="ctr"/>
        <c:lblOffset val="100"/>
        <c:noMultiLvlLbl val="0"/>
      </c:catAx>
      <c:valAx>
        <c:axId val="1420641439"/>
        <c:scaling>
          <c:orientation val="minMax"/>
        </c:scaling>
        <c:delete val="1"/>
        <c:axPos val="l"/>
        <c:numFmt formatCode="0" sourceLinked="1"/>
        <c:majorTickMark val="none"/>
        <c:minorTickMark val="none"/>
        <c:tickLblPos val="nextTo"/>
        <c:crossAx val="14206389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490102405513291"/>
          <c:y val="0.11480846212185895"/>
          <c:w val="0.64790545534508981"/>
          <c:h val="0.83519176692103048"/>
        </c:manualLayout>
      </c:layout>
      <c:pieChart>
        <c:varyColors val="1"/>
        <c:ser>
          <c:idx val="0"/>
          <c:order val="0"/>
          <c:tx>
            <c:strRef>
              <c:f>'Pivot Report'!$B$64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140-414B-A699-ADF8406D218F}"/>
              </c:ext>
            </c:extLst>
          </c:dPt>
          <c:dPt>
            <c:idx val="1"/>
            <c:bubble3D val="0"/>
            <c:spPr>
              <a:solidFill>
                <a:schemeClr val="accent2"/>
              </a:solidFill>
              <a:ln>
                <a:noFill/>
              </a:ln>
              <a:effectLst/>
            </c:spPr>
            <c:extLst>
              <c:ext xmlns:c16="http://schemas.microsoft.com/office/drawing/2014/chart" uri="{C3380CC4-5D6E-409C-BE32-E72D297353CC}">
                <c16:uniqueId val="{00000003-C140-414B-A699-ADF8406D21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c:formatCode>
                <c:ptCount val="2"/>
                <c:pt idx="0">
                  <c:v>324</c:v>
                </c:pt>
                <c:pt idx="1">
                  <c:v>195</c:v>
                </c:pt>
              </c:numCache>
            </c:numRef>
          </c:val>
          <c:extLst>
            <c:ext xmlns:c16="http://schemas.microsoft.com/office/drawing/2014/chart" uri="{C3380CC4-5D6E-409C-BE32-E72D297353CC}">
              <c16:uniqueId val="{00000005-36B3-4F1C-BC0A-2A6DFB988D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1.1627381352995248E-2"/>
          <c:w val="0.98052410864372286"/>
          <c:h val="0.14233598080710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089796538880581"/>
          <c:y val="0.18530476439389079"/>
          <c:w val="0.63760863506220389"/>
          <c:h val="0.70889354569627006"/>
        </c:manualLayout>
      </c:layout>
      <c:doughnutChart>
        <c:varyColors val="1"/>
        <c:ser>
          <c:idx val="0"/>
          <c:order val="0"/>
          <c:tx>
            <c:strRef>
              <c:f>'Pivot Report'!$B$71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C12-4DED-A201-273E07E6A6BE}"/>
              </c:ext>
            </c:extLst>
          </c:dPt>
          <c:dPt>
            <c:idx val="1"/>
            <c:bubble3D val="0"/>
            <c:spPr>
              <a:solidFill>
                <a:schemeClr val="accent2"/>
              </a:solidFill>
              <a:ln>
                <a:noFill/>
              </a:ln>
              <a:effectLst/>
            </c:spPr>
            <c:extLst>
              <c:ext xmlns:c16="http://schemas.microsoft.com/office/drawing/2014/chart" uri="{C3380CC4-5D6E-409C-BE32-E72D297353CC}">
                <c16:uniqueId val="{00000003-DC12-4DED-A201-273E07E6A6BE}"/>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254</c:v>
                </c:pt>
                <c:pt idx="1">
                  <c:v>265</c:v>
                </c:pt>
              </c:numCache>
            </c:numRef>
          </c:val>
          <c:extLst>
            <c:ext xmlns:c16="http://schemas.microsoft.com/office/drawing/2014/chart" uri="{C3380CC4-5D6E-409C-BE32-E72D297353CC}">
              <c16:uniqueId val="{00000005-E0C9-4D1A-B8C5-31FB05E64975}"/>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7.2254457310326767E-3"/>
          <c:y val="5.5879080205768943E-3"/>
          <c:w val="0.95702035174252464"/>
          <c:h val="0.13416613325529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59556191839659"/>
          <c:y val="1.0496408829321182E-2"/>
          <c:w val="0.70040443808160346"/>
          <c:h val="0.97900718234135764"/>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Report'!$B$79:$B$87</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1-C18C-4EF3-9162-874D1154146F}"/>
            </c:ext>
          </c:extLst>
        </c:ser>
        <c:dLbls>
          <c:showLegendKey val="0"/>
          <c:showVal val="0"/>
          <c:showCatName val="0"/>
          <c:showSerName val="0"/>
          <c:showPercent val="0"/>
          <c:showBubbleSize val="0"/>
        </c:dLbls>
        <c:gapWidth val="59"/>
        <c:axId val="1539174159"/>
        <c:axId val="1539174991"/>
      </c:barChart>
      <c:catAx>
        <c:axId val="153917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39174991"/>
        <c:crosses val="autoZero"/>
        <c:auto val="1"/>
        <c:lblAlgn val="ctr"/>
        <c:lblOffset val="100"/>
        <c:noMultiLvlLbl val="0"/>
      </c:catAx>
      <c:valAx>
        <c:axId val="1539174991"/>
        <c:scaling>
          <c:orientation val="minMax"/>
        </c:scaling>
        <c:delete val="1"/>
        <c:axPos val="b"/>
        <c:numFmt formatCode="0" sourceLinked="1"/>
        <c:majorTickMark val="none"/>
        <c:minorTickMark val="none"/>
        <c:tickLblPos val="nextTo"/>
        <c:crossAx val="153917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475373420321318"/>
          <c:w val="1"/>
          <c:h val="0.86524626579678687"/>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9C99-42B3-A5E7-B3CE17C7A2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97110959"/>
        <c:axId val="997118863"/>
      </c:areaChart>
      <c:catAx>
        <c:axId val="9971109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7118863"/>
        <c:crosses val="autoZero"/>
        <c:auto val="1"/>
        <c:lblAlgn val="ctr"/>
        <c:lblOffset val="100"/>
        <c:noMultiLvlLbl val="0"/>
      </c:catAx>
      <c:valAx>
        <c:axId val="997118863"/>
        <c:scaling>
          <c:orientation val="minMax"/>
        </c:scaling>
        <c:delete val="1"/>
        <c:axPos val="l"/>
        <c:numFmt formatCode="0.00" sourceLinked="1"/>
        <c:majorTickMark val="out"/>
        <c:minorTickMark val="none"/>
        <c:tickLblPos val="nextTo"/>
        <c:crossAx val="9971109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3.5982862436313108E-2"/>
          <c:y val="0"/>
          <c:w val="0.89386964129483815"/>
          <c:h val="0.41802527973476999"/>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153-4BD5-BB9D-77C4A86B2A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67606320"/>
        <c:axId val="967599248"/>
      </c:areaChart>
      <c:catAx>
        <c:axId val="967606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7599248"/>
        <c:crosses val="autoZero"/>
        <c:auto val="1"/>
        <c:lblAlgn val="ctr"/>
        <c:lblOffset val="100"/>
        <c:noMultiLvlLbl val="0"/>
      </c:catAx>
      <c:valAx>
        <c:axId val="967599248"/>
        <c:scaling>
          <c:orientation val="minMax"/>
        </c:scaling>
        <c:delete val="1"/>
        <c:axPos val="l"/>
        <c:numFmt formatCode="General" sourceLinked="1"/>
        <c:majorTickMark val="out"/>
        <c:minorTickMark val="none"/>
        <c:tickLblPos val="nextTo"/>
        <c:crossAx val="9676063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pt idx="30">
                  <c:v>15-May</c:v>
                </c:pt>
              </c:strCache>
            </c:strRef>
          </c:cat>
          <c:val>
            <c:numRef>
              <c:f>'Pivot Report'!$J$5:$J$36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7.2</c:v>
                </c:pt>
                <c:pt idx="15">
                  <c:v>4.333333333333333</c:v>
                </c:pt>
                <c:pt idx="16">
                  <c:v>3.7777777777777777</c:v>
                </c:pt>
                <c:pt idx="17">
                  <c:v>3.6666666666666665</c:v>
                </c:pt>
                <c:pt idx="18">
                  <c:v>4</c:v>
                </c:pt>
                <c:pt idx="19">
                  <c:v>5.833333333333333</c:v>
                </c:pt>
                <c:pt idx="20">
                  <c:v>5.666666666666667</c:v>
                </c:pt>
                <c:pt idx="21">
                  <c:v>5.5</c:v>
                </c:pt>
                <c:pt idx="22">
                  <c:v>5.5</c:v>
                </c:pt>
                <c:pt idx="23">
                  <c:v>7</c:v>
                </c:pt>
                <c:pt idx="24">
                  <c:v>7</c:v>
                </c:pt>
                <c:pt idx="25">
                  <c:v>4</c:v>
                </c:pt>
                <c:pt idx="26">
                  <c:v>4.4444444444444446</c:v>
                </c:pt>
                <c:pt idx="27">
                  <c:v>4.8571428571428568</c:v>
                </c:pt>
                <c:pt idx="28">
                  <c:v>5.5714285714285712</c:v>
                </c:pt>
                <c:pt idx="29">
                  <c:v>6</c:v>
                </c:pt>
                <c:pt idx="30">
                  <c:v>4.2</c:v>
                </c:pt>
              </c:numCache>
            </c:numRef>
          </c:val>
          <c:extLst>
            <c:ext xmlns:c16="http://schemas.microsoft.com/office/drawing/2014/chart" uri="{C3380CC4-5D6E-409C-BE32-E72D297353CC}">
              <c16:uniqueId val="{00000000-607C-48E6-9979-C602FB9C5F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97101807"/>
        <c:axId val="997114287"/>
      </c:areaChart>
      <c:catAx>
        <c:axId val="9971018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7114287"/>
        <c:crosses val="autoZero"/>
        <c:auto val="1"/>
        <c:lblAlgn val="ctr"/>
        <c:lblOffset val="100"/>
        <c:noMultiLvlLbl val="0"/>
      </c:catAx>
      <c:valAx>
        <c:axId val="997114287"/>
        <c:scaling>
          <c:orientation val="minMax"/>
        </c:scaling>
        <c:delete val="1"/>
        <c:axPos val="l"/>
        <c:numFmt formatCode="0.00" sourceLinked="1"/>
        <c:majorTickMark val="out"/>
        <c:minorTickMark val="none"/>
        <c:tickLblPos val="nextTo"/>
        <c:crossAx val="997101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85723</xdr:colOff>
      <xdr:row>45</xdr:row>
      <xdr:rowOff>142874</xdr:rowOff>
    </xdr:from>
    <xdr:to>
      <xdr:col>3</xdr:col>
      <xdr:colOff>1466850</xdr:colOff>
      <xdr:row>48</xdr:row>
      <xdr:rowOff>57150</xdr:rowOff>
    </xdr:to>
    <xdr:graphicFrame macro="">
      <xdr:nvGraphicFramePr>
        <xdr:cNvPr id="2" name="Chart 1">
          <a:extLst>
            <a:ext uri="{FF2B5EF4-FFF2-40B4-BE49-F238E27FC236}">
              <a16:creationId xmlns:a16="http://schemas.microsoft.com/office/drawing/2014/main" id="{A2B41511-E160-429C-A8C0-534E2729E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71437</xdr:colOff>
      <xdr:row>0</xdr:row>
      <xdr:rowOff>95251</xdr:rowOff>
    </xdr:from>
    <xdr:to>
      <xdr:col>7</xdr:col>
      <xdr:colOff>7937</xdr:colOff>
      <xdr:row>3</xdr:row>
      <xdr:rowOff>23813</xdr:rowOff>
    </xdr:to>
    <xdr:sp macro="" textlink="">
      <xdr:nvSpPr>
        <xdr:cNvPr id="2" name="Rectangle: Rounded Corners 1">
          <a:extLst>
            <a:ext uri="{FF2B5EF4-FFF2-40B4-BE49-F238E27FC236}">
              <a16:creationId xmlns:a16="http://schemas.microsoft.com/office/drawing/2014/main" id="{8239E0AA-759C-496E-8264-9BAECCB20FA3}"/>
            </a:ext>
          </a:extLst>
        </xdr:cNvPr>
        <xdr:cNvSpPr/>
      </xdr:nvSpPr>
      <xdr:spPr>
        <a:xfrm>
          <a:off x="71437" y="95251"/>
          <a:ext cx="4214813" cy="500062"/>
        </a:xfrm>
        <a:prstGeom prst="roundRect">
          <a:avLst>
            <a:gd name="adj" fmla="val 1935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solidFill>
              <a:schemeClr val="tx1"/>
            </a:solidFill>
          </a:endParaRPr>
        </a:p>
      </xdr:txBody>
    </xdr:sp>
    <xdr:clientData/>
  </xdr:twoCellAnchor>
  <xdr:twoCellAnchor editAs="absolute">
    <xdr:from>
      <xdr:col>7</xdr:col>
      <xdr:colOff>39687</xdr:colOff>
      <xdr:row>0</xdr:row>
      <xdr:rowOff>95252</xdr:rowOff>
    </xdr:from>
    <xdr:to>
      <xdr:col>10</xdr:col>
      <xdr:colOff>103188</xdr:colOff>
      <xdr:row>3</xdr:row>
      <xdr:rowOff>23814</xdr:rowOff>
    </xdr:to>
    <xdr:sp macro="" textlink="">
      <xdr:nvSpPr>
        <xdr:cNvPr id="3" name="Rectangle: Rounded Corners 2">
          <a:extLst>
            <a:ext uri="{FF2B5EF4-FFF2-40B4-BE49-F238E27FC236}">
              <a16:creationId xmlns:a16="http://schemas.microsoft.com/office/drawing/2014/main" id="{D22E4986-552C-41AB-B413-A5F02F98BFDE}"/>
            </a:ext>
          </a:extLst>
        </xdr:cNvPr>
        <xdr:cNvSpPr/>
      </xdr:nvSpPr>
      <xdr:spPr>
        <a:xfrm>
          <a:off x="4318000" y="95252"/>
          <a:ext cx="1897063" cy="500062"/>
        </a:xfrm>
        <a:prstGeom prst="roundRect">
          <a:avLst>
            <a:gd name="adj" fmla="val 1459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365125</xdr:colOff>
      <xdr:row>0</xdr:row>
      <xdr:rowOff>87313</xdr:rowOff>
    </xdr:from>
    <xdr:to>
      <xdr:col>14</xdr:col>
      <xdr:colOff>547687</xdr:colOff>
      <xdr:row>7</xdr:row>
      <xdr:rowOff>47625</xdr:rowOff>
    </xdr:to>
    <xdr:sp macro="" textlink="">
      <xdr:nvSpPr>
        <xdr:cNvPr id="5" name="Rectangle: Rounded Corners 4">
          <a:extLst>
            <a:ext uri="{FF2B5EF4-FFF2-40B4-BE49-F238E27FC236}">
              <a16:creationId xmlns:a16="http://schemas.microsoft.com/office/drawing/2014/main" id="{8D8FEFCD-160C-4A80-874B-0AA80A93F5D7}"/>
            </a:ext>
          </a:extLst>
        </xdr:cNvPr>
        <xdr:cNvSpPr/>
      </xdr:nvSpPr>
      <xdr:spPr>
        <a:xfrm>
          <a:off x="7699375" y="87313"/>
          <a:ext cx="1404937" cy="1293812"/>
        </a:xfrm>
        <a:prstGeom prst="roundRect">
          <a:avLst>
            <a:gd name="adj" fmla="val 719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3</xdr:row>
      <xdr:rowOff>47627</xdr:rowOff>
    </xdr:from>
    <xdr:to>
      <xdr:col>1</xdr:col>
      <xdr:colOff>349250</xdr:colOff>
      <xdr:row>17</xdr:row>
      <xdr:rowOff>142875</xdr:rowOff>
    </xdr:to>
    <xdr:sp macro="" textlink="">
      <xdr:nvSpPr>
        <xdr:cNvPr id="6" name="Rectangle: Rounded Corners 5">
          <a:extLst>
            <a:ext uri="{FF2B5EF4-FFF2-40B4-BE49-F238E27FC236}">
              <a16:creationId xmlns:a16="http://schemas.microsoft.com/office/drawing/2014/main" id="{027BA927-DD96-47C7-8AD6-122C7E3C8FC2}"/>
            </a:ext>
          </a:extLst>
        </xdr:cNvPr>
        <xdr:cNvSpPr/>
      </xdr:nvSpPr>
      <xdr:spPr>
        <a:xfrm>
          <a:off x="47625" y="619127"/>
          <a:ext cx="912813" cy="2762248"/>
        </a:xfrm>
        <a:prstGeom prst="roundRect">
          <a:avLst>
            <a:gd name="adj" fmla="val 403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166687</xdr:colOff>
      <xdr:row>0</xdr:row>
      <xdr:rowOff>87313</xdr:rowOff>
    </xdr:from>
    <xdr:to>
      <xdr:col>12</xdr:col>
      <xdr:colOff>349249</xdr:colOff>
      <xdr:row>7</xdr:row>
      <xdr:rowOff>47625</xdr:rowOff>
    </xdr:to>
    <xdr:sp macro="" textlink="">
      <xdr:nvSpPr>
        <xdr:cNvPr id="10" name="Rectangle: Rounded Corners 9">
          <a:extLst>
            <a:ext uri="{FF2B5EF4-FFF2-40B4-BE49-F238E27FC236}">
              <a16:creationId xmlns:a16="http://schemas.microsoft.com/office/drawing/2014/main" id="{F97DB620-60EF-41BA-AFD2-7C3BC02AD9BB}"/>
            </a:ext>
          </a:extLst>
        </xdr:cNvPr>
        <xdr:cNvSpPr/>
      </xdr:nvSpPr>
      <xdr:spPr>
        <a:xfrm>
          <a:off x="6278562" y="87313"/>
          <a:ext cx="1404937" cy="1293812"/>
        </a:xfrm>
        <a:prstGeom prst="roundRect">
          <a:avLst>
            <a:gd name="adj" fmla="val 9650"/>
          </a:avLst>
        </a:prstGeom>
        <a:solidFill>
          <a:schemeClr val="bg1"/>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388937</xdr:colOff>
      <xdr:row>3</xdr:row>
      <xdr:rowOff>55564</xdr:rowOff>
    </xdr:from>
    <xdr:to>
      <xdr:col>4</xdr:col>
      <xdr:colOff>276562</xdr:colOff>
      <xdr:row>7</xdr:row>
      <xdr:rowOff>127000</xdr:rowOff>
    </xdr:to>
    <xdr:sp macro="" textlink="">
      <xdr:nvSpPr>
        <xdr:cNvPr id="7" name="Rectangle: Rounded Corners 6">
          <a:extLst>
            <a:ext uri="{FF2B5EF4-FFF2-40B4-BE49-F238E27FC236}">
              <a16:creationId xmlns:a16="http://schemas.microsoft.com/office/drawing/2014/main" id="{064CF94E-092F-4D97-99D9-F88720C71A28}"/>
            </a:ext>
          </a:extLst>
        </xdr:cNvPr>
        <xdr:cNvSpPr/>
      </xdr:nvSpPr>
      <xdr:spPr>
        <a:xfrm>
          <a:off x="1000125" y="627064"/>
          <a:ext cx="1721187" cy="833436"/>
        </a:xfrm>
        <a:prstGeom prst="roundRect">
          <a:avLst>
            <a:gd name="adj" fmla="val 109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326063</xdr:colOff>
      <xdr:row>3</xdr:row>
      <xdr:rowOff>55564</xdr:rowOff>
    </xdr:from>
    <xdr:to>
      <xdr:col>7</xdr:col>
      <xdr:colOff>213687</xdr:colOff>
      <xdr:row>7</xdr:row>
      <xdr:rowOff>127000</xdr:rowOff>
    </xdr:to>
    <xdr:sp macro="" textlink="">
      <xdr:nvSpPr>
        <xdr:cNvPr id="12" name="Rectangle: Rounded Corners 11">
          <a:extLst>
            <a:ext uri="{FF2B5EF4-FFF2-40B4-BE49-F238E27FC236}">
              <a16:creationId xmlns:a16="http://schemas.microsoft.com/office/drawing/2014/main" id="{30089213-2CBD-4624-94F2-15EB3B87B1D6}"/>
            </a:ext>
          </a:extLst>
        </xdr:cNvPr>
        <xdr:cNvSpPr/>
      </xdr:nvSpPr>
      <xdr:spPr>
        <a:xfrm>
          <a:off x="2770813" y="627064"/>
          <a:ext cx="1721187" cy="833436"/>
        </a:xfrm>
        <a:prstGeom prst="roundRect">
          <a:avLst>
            <a:gd name="adj" fmla="val 109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215563</xdr:colOff>
      <xdr:row>3</xdr:row>
      <xdr:rowOff>55564</xdr:rowOff>
    </xdr:from>
    <xdr:to>
      <xdr:col>10</xdr:col>
      <xdr:colOff>103188</xdr:colOff>
      <xdr:row>7</xdr:row>
      <xdr:rowOff>127000</xdr:rowOff>
    </xdr:to>
    <xdr:sp macro="" textlink="">
      <xdr:nvSpPr>
        <xdr:cNvPr id="13" name="Rectangle: Rounded Corners 12">
          <a:extLst>
            <a:ext uri="{FF2B5EF4-FFF2-40B4-BE49-F238E27FC236}">
              <a16:creationId xmlns:a16="http://schemas.microsoft.com/office/drawing/2014/main" id="{429829B1-FA47-4A7A-91F3-00177B737213}"/>
            </a:ext>
          </a:extLst>
        </xdr:cNvPr>
        <xdr:cNvSpPr/>
      </xdr:nvSpPr>
      <xdr:spPr>
        <a:xfrm>
          <a:off x="4493876" y="627064"/>
          <a:ext cx="1721187" cy="833436"/>
        </a:xfrm>
        <a:prstGeom prst="roundRect">
          <a:avLst>
            <a:gd name="adj" fmla="val 109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388937</xdr:colOff>
      <xdr:row>7</xdr:row>
      <xdr:rowOff>158752</xdr:rowOff>
    </xdr:from>
    <xdr:to>
      <xdr:col>10</xdr:col>
      <xdr:colOff>103188</xdr:colOff>
      <xdr:row>10</xdr:row>
      <xdr:rowOff>158750</xdr:rowOff>
    </xdr:to>
    <xdr:sp macro="" textlink="">
      <xdr:nvSpPr>
        <xdr:cNvPr id="16" name="Rectangle: Rounded Corners 15">
          <a:extLst>
            <a:ext uri="{FF2B5EF4-FFF2-40B4-BE49-F238E27FC236}">
              <a16:creationId xmlns:a16="http://schemas.microsoft.com/office/drawing/2014/main" id="{FE258A80-F589-4173-ACDA-3A920FB927BD}"/>
            </a:ext>
          </a:extLst>
        </xdr:cNvPr>
        <xdr:cNvSpPr/>
      </xdr:nvSpPr>
      <xdr:spPr>
        <a:xfrm>
          <a:off x="1000125" y="1492252"/>
          <a:ext cx="5214938" cy="571498"/>
        </a:xfrm>
        <a:prstGeom prst="roundRect">
          <a:avLst>
            <a:gd name="adj" fmla="val 109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388937</xdr:colOff>
      <xdr:row>11</xdr:row>
      <xdr:rowOff>47628</xdr:rowOff>
    </xdr:from>
    <xdr:to>
      <xdr:col>10</xdr:col>
      <xdr:colOff>103188</xdr:colOff>
      <xdr:row>17</xdr:row>
      <xdr:rowOff>142876</xdr:rowOff>
    </xdr:to>
    <xdr:sp macro="" textlink="">
      <xdr:nvSpPr>
        <xdr:cNvPr id="17" name="Rectangle: Rounded Corners 16">
          <a:extLst>
            <a:ext uri="{FF2B5EF4-FFF2-40B4-BE49-F238E27FC236}">
              <a16:creationId xmlns:a16="http://schemas.microsoft.com/office/drawing/2014/main" id="{60AEC0D7-F2F7-4E5B-B8AC-406EAE90B355}"/>
            </a:ext>
          </a:extLst>
        </xdr:cNvPr>
        <xdr:cNvSpPr/>
      </xdr:nvSpPr>
      <xdr:spPr>
        <a:xfrm>
          <a:off x="1000125" y="2143128"/>
          <a:ext cx="5214938" cy="1238248"/>
        </a:xfrm>
        <a:prstGeom prst="roundRect">
          <a:avLst>
            <a:gd name="adj" fmla="val 109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174626</xdr:colOff>
      <xdr:row>7</xdr:row>
      <xdr:rowOff>79376</xdr:rowOff>
    </xdr:from>
    <xdr:to>
      <xdr:col>14</xdr:col>
      <xdr:colOff>547688</xdr:colOff>
      <xdr:row>17</xdr:row>
      <xdr:rowOff>127000</xdr:rowOff>
    </xdr:to>
    <xdr:sp macro="" textlink="">
      <xdr:nvSpPr>
        <xdr:cNvPr id="26" name="Rectangle: Rounded Corners 25">
          <a:extLst>
            <a:ext uri="{FF2B5EF4-FFF2-40B4-BE49-F238E27FC236}">
              <a16:creationId xmlns:a16="http://schemas.microsoft.com/office/drawing/2014/main" id="{604BCBF9-17F1-4121-83D9-D0722DD2A1AC}"/>
            </a:ext>
          </a:extLst>
        </xdr:cNvPr>
        <xdr:cNvSpPr/>
      </xdr:nvSpPr>
      <xdr:spPr>
        <a:xfrm>
          <a:off x="6286501" y="1412876"/>
          <a:ext cx="2817812" cy="1952624"/>
        </a:xfrm>
        <a:prstGeom prst="roundRect">
          <a:avLst>
            <a:gd name="adj" fmla="val 719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420687</xdr:colOff>
      <xdr:row>1</xdr:row>
      <xdr:rowOff>95251</xdr:rowOff>
    </xdr:from>
    <xdr:to>
      <xdr:col>6</xdr:col>
      <xdr:colOff>238125</xdr:colOff>
      <xdr:row>2</xdr:row>
      <xdr:rowOff>150814</xdr:rowOff>
    </xdr:to>
    <xdr:sp macro="" textlink="">
      <xdr:nvSpPr>
        <xdr:cNvPr id="4" name="TextBox 3">
          <a:extLst>
            <a:ext uri="{FF2B5EF4-FFF2-40B4-BE49-F238E27FC236}">
              <a16:creationId xmlns:a16="http://schemas.microsoft.com/office/drawing/2014/main" id="{71A7B76A-4D22-4852-9FE8-BAB2409509AE}"/>
            </a:ext>
          </a:extLst>
        </xdr:cNvPr>
        <xdr:cNvSpPr txBox="1"/>
      </xdr:nvSpPr>
      <xdr:spPr>
        <a:xfrm>
          <a:off x="1643062" y="285751"/>
          <a:ext cx="2262188" cy="246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Monthly Report</a:t>
          </a:r>
        </a:p>
      </xdr:txBody>
    </xdr:sp>
    <xdr:clientData/>
  </xdr:twoCellAnchor>
  <xdr:twoCellAnchor>
    <xdr:from>
      <xdr:col>1</xdr:col>
      <xdr:colOff>182563</xdr:colOff>
      <xdr:row>0</xdr:row>
      <xdr:rowOff>71438</xdr:rowOff>
    </xdr:from>
    <xdr:to>
      <xdr:col>6</xdr:col>
      <xdr:colOff>539750</xdr:colOff>
      <xdr:row>2</xdr:row>
      <xdr:rowOff>7938</xdr:rowOff>
    </xdr:to>
    <xdr:sp macro="" textlink="">
      <xdr:nvSpPr>
        <xdr:cNvPr id="8" name="TextBox 7">
          <a:extLst>
            <a:ext uri="{FF2B5EF4-FFF2-40B4-BE49-F238E27FC236}">
              <a16:creationId xmlns:a16="http://schemas.microsoft.com/office/drawing/2014/main" id="{FAFA280A-8A05-4313-A728-23C2E5D52923}"/>
            </a:ext>
          </a:extLst>
        </xdr:cNvPr>
        <xdr:cNvSpPr txBox="1"/>
      </xdr:nvSpPr>
      <xdr:spPr>
        <a:xfrm>
          <a:off x="793751" y="71438"/>
          <a:ext cx="341312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Hospital Emergency Room Dashboard</a:t>
          </a:r>
        </a:p>
      </xdr:txBody>
    </xdr:sp>
    <xdr:clientData/>
  </xdr:twoCellAnchor>
  <xdr:twoCellAnchor editAs="oneCell">
    <xdr:from>
      <xdr:col>0</xdr:col>
      <xdr:colOff>63499</xdr:colOff>
      <xdr:row>0</xdr:row>
      <xdr:rowOff>127000</xdr:rowOff>
    </xdr:from>
    <xdr:to>
      <xdr:col>1</xdr:col>
      <xdr:colOff>119062</xdr:colOff>
      <xdr:row>3</xdr:row>
      <xdr:rowOff>39688</xdr:rowOff>
    </xdr:to>
    <xdr:pic>
      <xdr:nvPicPr>
        <xdr:cNvPr id="11" name="Picture 10">
          <a:extLst>
            <a:ext uri="{FF2B5EF4-FFF2-40B4-BE49-F238E27FC236}">
              <a16:creationId xmlns:a16="http://schemas.microsoft.com/office/drawing/2014/main" id="{B1EC6772-2E68-4068-A820-B32DF5C9E26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29" t="10228" r="14048" b="4543"/>
        <a:stretch/>
      </xdr:blipFill>
      <xdr:spPr>
        <a:xfrm>
          <a:off x="63499" y="127000"/>
          <a:ext cx="666751" cy="484188"/>
        </a:xfrm>
        <a:prstGeom prst="rect">
          <a:avLst/>
        </a:prstGeom>
      </xdr:spPr>
    </xdr:pic>
    <xdr:clientData/>
  </xdr:twoCellAnchor>
  <xdr:twoCellAnchor>
    <xdr:from>
      <xdr:col>1</xdr:col>
      <xdr:colOff>581025</xdr:colOff>
      <xdr:row>3</xdr:row>
      <xdr:rowOff>166688</xdr:rowOff>
    </xdr:from>
    <xdr:to>
      <xdr:col>4</xdr:col>
      <xdr:colOff>79376</xdr:colOff>
      <xdr:row>6</xdr:row>
      <xdr:rowOff>152401</xdr:rowOff>
    </xdr:to>
    <xdr:sp macro="" textlink="'Pivot Report'!A5">
      <xdr:nvSpPr>
        <xdr:cNvPr id="22" name="TextBox 21">
          <a:extLst>
            <a:ext uri="{FF2B5EF4-FFF2-40B4-BE49-F238E27FC236}">
              <a16:creationId xmlns:a16="http://schemas.microsoft.com/office/drawing/2014/main" id="{F92F9F7E-76C2-4B2E-B6A1-6EC95B51EDFE}"/>
            </a:ext>
          </a:extLst>
        </xdr:cNvPr>
        <xdr:cNvSpPr txBox="1"/>
      </xdr:nvSpPr>
      <xdr:spPr>
        <a:xfrm>
          <a:off x="1192213" y="738188"/>
          <a:ext cx="1331913" cy="55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B14E9F-2397-4502-959B-0EE3344984EF}" type="TxLink">
            <a:rPr lang="en-US" sz="1100" b="0" i="0" u="none" strike="noStrike">
              <a:solidFill>
                <a:srgbClr val="000000"/>
              </a:solidFill>
              <a:latin typeface="Calibri"/>
              <a:cs typeface="Calibri"/>
            </a:rPr>
            <a:pPr algn="ctr"/>
            <a:t>519</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No.</a:t>
          </a:r>
          <a:r>
            <a:rPr lang="en-US" sz="1100" b="0" i="0" u="none" strike="noStrike" baseline="0">
              <a:solidFill>
                <a:srgbClr val="000000"/>
              </a:solidFill>
              <a:latin typeface="Calibri"/>
              <a:cs typeface="Calibri"/>
            </a:rPr>
            <a:t> of Patient</a:t>
          </a:r>
          <a:endParaRPr lang="en-IN" sz="1400"/>
        </a:p>
      </xdr:txBody>
    </xdr:sp>
    <xdr:clientData/>
  </xdr:twoCellAnchor>
  <xdr:twoCellAnchor>
    <xdr:from>
      <xdr:col>2</xdr:col>
      <xdr:colOff>400051</xdr:colOff>
      <xdr:row>8</xdr:row>
      <xdr:rowOff>82550</xdr:rowOff>
    </xdr:from>
    <xdr:to>
      <xdr:col>4</xdr:col>
      <xdr:colOff>509589</xdr:colOff>
      <xdr:row>9</xdr:row>
      <xdr:rowOff>138113</xdr:rowOff>
    </xdr:to>
    <xdr:sp macro="" textlink="">
      <xdr:nvSpPr>
        <xdr:cNvPr id="23" name="TextBox 22">
          <a:extLst>
            <a:ext uri="{FF2B5EF4-FFF2-40B4-BE49-F238E27FC236}">
              <a16:creationId xmlns:a16="http://schemas.microsoft.com/office/drawing/2014/main" id="{96CAA3E8-6D4F-45C5-842C-87ACAB535870}"/>
            </a:ext>
          </a:extLst>
        </xdr:cNvPr>
        <xdr:cNvSpPr txBox="1"/>
      </xdr:nvSpPr>
      <xdr:spPr>
        <a:xfrm>
          <a:off x="1622426" y="1606550"/>
          <a:ext cx="1331913" cy="246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Monthly Report</a:t>
          </a:r>
        </a:p>
      </xdr:txBody>
    </xdr:sp>
    <xdr:clientData/>
  </xdr:twoCellAnchor>
  <xdr:twoCellAnchor>
    <xdr:from>
      <xdr:col>4</xdr:col>
      <xdr:colOff>373063</xdr:colOff>
      <xdr:row>3</xdr:row>
      <xdr:rowOff>168274</xdr:rowOff>
    </xdr:from>
    <xdr:to>
      <xdr:col>7</xdr:col>
      <xdr:colOff>142875</xdr:colOff>
      <xdr:row>6</xdr:row>
      <xdr:rowOff>153987</xdr:rowOff>
    </xdr:to>
    <xdr:sp macro="" textlink="'Pivot Report'!A9">
      <xdr:nvSpPr>
        <xdr:cNvPr id="27" name="TextBox 26">
          <a:extLst>
            <a:ext uri="{FF2B5EF4-FFF2-40B4-BE49-F238E27FC236}">
              <a16:creationId xmlns:a16="http://schemas.microsoft.com/office/drawing/2014/main" id="{31B0AB4C-0DE5-4003-99BC-022EE5D100D0}"/>
            </a:ext>
          </a:extLst>
        </xdr:cNvPr>
        <xdr:cNvSpPr txBox="1"/>
      </xdr:nvSpPr>
      <xdr:spPr>
        <a:xfrm>
          <a:off x="2817813" y="739774"/>
          <a:ext cx="1603375" cy="55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13DCB-64B7-49B8-89D1-B15E7131EEAE}" type="TxLink">
            <a:rPr lang="en-US" sz="1100" b="0" i="0" u="none" strike="noStrike">
              <a:solidFill>
                <a:srgbClr val="000000"/>
              </a:solidFill>
              <a:latin typeface="Calibri"/>
              <a:cs typeface="Calibri"/>
            </a:rPr>
            <a:pPr algn="ctr"/>
            <a:t>35.81</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Average Wait Time</a:t>
          </a:r>
          <a:endParaRPr lang="en-IN" sz="1400"/>
        </a:p>
      </xdr:txBody>
    </xdr:sp>
    <xdr:clientData/>
  </xdr:twoCellAnchor>
  <xdr:twoCellAnchor>
    <xdr:from>
      <xdr:col>7</xdr:col>
      <xdr:colOff>230187</xdr:colOff>
      <xdr:row>3</xdr:row>
      <xdr:rowOff>153987</xdr:rowOff>
    </xdr:from>
    <xdr:to>
      <xdr:col>10</xdr:col>
      <xdr:colOff>79375</xdr:colOff>
      <xdr:row>6</xdr:row>
      <xdr:rowOff>139700</xdr:rowOff>
    </xdr:to>
    <xdr:sp macro="" textlink="'Pivot Report'!A13">
      <xdr:nvSpPr>
        <xdr:cNvPr id="28" name="TextBox 27">
          <a:extLst>
            <a:ext uri="{FF2B5EF4-FFF2-40B4-BE49-F238E27FC236}">
              <a16:creationId xmlns:a16="http://schemas.microsoft.com/office/drawing/2014/main" id="{286406F9-40CB-430B-86DA-B5627DF0C78D}"/>
            </a:ext>
          </a:extLst>
        </xdr:cNvPr>
        <xdr:cNvSpPr txBox="1"/>
      </xdr:nvSpPr>
      <xdr:spPr>
        <a:xfrm>
          <a:off x="4508500" y="725487"/>
          <a:ext cx="1682750"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201B30-9047-4AE6-A0DA-D0EA136C4197}" type="TxLink">
            <a:rPr lang="en-US" sz="1200" b="0" i="0" u="none" strike="noStrike">
              <a:solidFill>
                <a:srgbClr val="000000"/>
              </a:solidFill>
              <a:latin typeface="Calibri"/>
              <a:cs typeface="Calibri"/>
            </a:rPr>
            <a:pPr algn="ctr"/>
            <a:t>5.15</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Patient </a:t>
          </a:r>
          <a:r>
            <a:rPr lang="en-US" sz="1050" b="0" i="0" u="none" strike="noStrike">
              <a:solidFill>
                <a:srgbClr val="000000"/>
              </a:solidFill>
              <a:latin typeface="Calibri"/>
              <a:cs typeface="Calibri"/>
            </a:rPr>
            <a:t>Satisfaction</a:t>
          </a:r>
          <a:r>
            <a:rPr lang="en-US" sz="1200" b="0" i="0" u="none" strike="noStrike">
              <a:solidFill>
                <a:srgbClr val="000000"/>
              </a:solidFill>
              <a:latin typeface="Calibri"/>
              <a:cs typeface="Calibri"/>
            </a:rPr>
            <a:t> Score</a:t>
          </a:r>
        </a:p>
      </xdr:txBody>
    </xdr:sp>
    <xdr:clientData/>
  </xdr:twoCellAnchor>
  <xdr:twoCellAnchor editAs="oneCell">
    <xdr:from>
      <xdr:col>3</xdr:col>
      <xdr:colOff>515937</xdr:colOff>
      <xdr:row>3</xdr:row>
      <xdr:rowOff>63499</xdr:rowOff>
    </xdr:from>
    <xdr:to>
      <xdr:col>4</xdr:col>
      <xdr:colOff>206375</xdr:colOff>
      <xdr:row>4</xdr:row>
      <xdr:rowOff>174624</xdr:rowOff>
    </xdr:to>
    <xdr:pic>
      <xdr:nvPicPr>
        <xdr:cNvPr id="30" name="Graphic 29" descr="Male profile with solid fill">
          <a:extLst>
            <a:ext uri="{FF2B5EF4-FFF2-40B4-BE49-F238E27FC236}">
              <a16:creationId xmlns:a16="http://schemas.microsoft.com/office/drawing/2014/main" id="{5F61122E-5BDF-4BD8-AAA4-21CC156575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349500" y="634999"/>
          <a:ext cx="301625" cy="301625"/>
        </a:xfrm>
        <a:prstGeom prst="rect">
          <a:avLst/>
        </a:prstGeom>
      </xdr:spPr>
    </xdr:pic>
    <xdr:clientData/>
  </xdr:twoCellAnchor>
  <xdr:twoCellAnchor editAs="oneCell">
    <xdr:from>
      <xdr:col>6</xdr:col>
      <xdr:colOff>492125</xdr:colOff>
      <xdr:row>3</xdr:row>
      <xdr:rowOff>87313</xdr:rowOff>
    </xdr:from>
    <xdr:to>
      <xdr:col>7</xdr:col>
      <xdr:colOff>174625</xdr:colOff>
      <xdr:row>5</xdr:row>
      <xdr:rowOff>1</xdr:rowOff>
    </xdr:to>
    <xdr:pic>
      <xdr:nvPicPr>
        <xdr:cNvPr id="32" name="Graphic 31" descr="Hourglass Finished with solid fill">
          <a:extLst>
            <a:ext uri="{FF2B5EF4-FFF2-40B4-BE49-F238E27FC236}">
              <a16:creationId xmlns:a16="http://schemas.microsoft.com/office/drawing/2014/main" id="{BCE91845-A7F2-4198-BE48-969AF5548C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159250" y="658813"/>
          <a:ext cx="293688" cy="293688"/>
        </a:xfrm>
        <a:prstGeom prst="rect">
          <a:avLst/>
        </a:prstGeom>
      </xdr:spPr>
    </xdr:pic>
    <xdr:clientData/>
  </xdr:twoCellAnchor>
  <xdr:twoCellAnchor editAs="oneCell">
    <xdr:from>
      <xdr:col>9</xdr:col>
      <xdr:colOff>420687</xdr:colOff>
      <xdr:row>3</xdr:row>
      <xdr:rowOff>87312</xdr:rowOff>
    </xdr:from>
    <xdr:to>
      <xdr:col>10</xdr:col>
      <xdr:colOff>63501</xdr:colOff>
      <xdr:row>4</xdr:row>
      <xdr:rowOff>150813</xdr:rowOff>
    </xdr:to>
    <xdr:pic>
      <xdr:nvPicPr>
        <xdr:cNvPr id="34" name="Graphic 33" descr="Customer review with solid fill">
          <a:extLst>
            <a:ext uri="{FF2B5EF4-FFF2-40B4-BE49-F238E27FC236}">
              <a16:creationId xmlns:a16="http://schemas.microsoft.com/office/drawing/2014/main" id="{2924CDBA-8E9B-4BE9-9FDC-97DA0A0EE2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921375" y="658812"/>
          <a:ext cx="254001" cy="254001"/>
        </a:xfrm>
        <a:prstGeom prst="rect">
          <a:avLst/>
        </a:prstGeom>
      </xdr:spPr>
    </xdr:pic>
    <xdr:clientData/>
  </xdr:twoCellAnchor>
  <xdr:twoCellAnchor editAs="oneCell">
    <xdr:from>
      <xdr:col>0</xdr:col>
      <xdr:colOff>87312</xdr:colOff>
      <xdr:row>3</xdr:row>
      <xdr:rowOff>71438</xdr:rowOff>
    </xdr:from>
    <xdr:to>
      <xdr:col>1</xdr:col>
      <xdr:colOff>331574</xdr:colOff>
      <xdr:row>17</xdr:row>
      <xdr:rowOff>111124</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5DC33CF7-2ACF-4C2D-9CF2-01D90EF6A69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312" y="642938"/>
              <a:ext cx="855450" cy="2706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373063</xdr:colOff>
      <xdr:row>5</xdr:row>
      <xdr:rowOff>158749</xdr:rowOff>
    </xdr:from>
    <xdr:to>
      <xdr:col>4</xdr:col>
      <xdr:colOff>285751</xdr:colOff>
      <xdr:row>7</xdr:row>
      <xdr:rowOff>119063</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384167BF-0C3C-49DE-A45F-422182BB7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325438</xdr:colOff>
      <xdr:row>6</xdr:row>
      <xdr:rowOff>47625</xdr:rowOff>
    </xdr:from>
    <xdr:to>
      <xdr:col>7</xdr:col>
      <xdr:colOff>206374</xdr:colOff>
      <xdr:row>7</xdr:row>
      <xdr:rowOff>119063</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C09DB3FA-02BC-4FAB-A33F-BC33CFBE7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222250</xdr:colOff>
      <xdr:row>5</xdr:row>
      <xdr:rowOff>55563</xdr:rowOff>
    </xdr:from>
    <xdr:to>
      <xdr:col>10</xdr:col>
      <xdr:colOff>95250</xdr:colOff>
      <xdr:row>7</xdr:row>
      <xdr:rowOff>119063</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7CFB2DA1-0A62-4E3E-94A6-497D4A470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381000</xdr:colOff>
          <xdr:row>7</xdr:row>
          <xdr:rowOff>158749</xdr:rowOff>
        </xdr:from>
        <xdr:to>
          <xdr:col>10</xdr:col>
          <xdr:colOff>111125</xdr:colOff>
          <xdr:row>10</xdr:row>
          <xdr:rowOff>174625</xdr:rowOff>
        </xdr:to>
        <xdr:pic>
          <xdr:nvPicPr>
            <xdr:cNvPr id="43" name="Picture 42">
              <a:extLst>
                <a:ext uri="{FF2B5EF4-FFF2-40B4-BE49-F238E27FC236}">
                  <a16:creationId xmlns:a16="http://schemas.microsoft.com/office/drawing/2014/main" id="{4D42DEF1-146B-4AD2-A177-61AC8A033380}"/>
                </a:ext>
              </a:extLst>
            </xdr:cNvPr>
            <xdr:cNvPicPr>
              <a:picLocks noChangeAspect="1" noChangeArrowheads="1"/>
              <a:extLst>
                <a:ext uri="{84589F7E-364E-4C9E-8A38-B11213B215E9}">
                  <a14:cameraTool cellRange="'Pivot Report'!$A$46:$D$48" spid="_x0000_s1057"/>
                </a:ext>
              </a:extLst>
            </xdr:cNvPicPr>
          </xdr:nvPicPr>
          <xdr:blipFill>
            <a:blip xmlns:r="http://schemas.openxmlformats.org/officeDocument/2006/relationships" r:embed="rId14"/>
            <a:srcRect/>
            <a:stretch>
              <a:fillRect/>
            </a:stretch>
          </xdr:blipFill>
          <xdr:spPr bwMode="auto">
            <a:xfrm>
              <a:off x="992188" y="1492249"/>
              <a:ext cx="5230812" cy="5873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380999</xdr:colOff>
      <xdr:row>11</xdr:row>
      <xdr:rowOff>63499</xdr:rowOff>
    </xdr:from>
    <xdr:to>
      <xdr:col>10</xdr:col>
      <xdr:colOff>103188</xdr:colOff>
      <xdr:row>17</xdr:row>
      <xdr:rowOff>142874</xdr:rowOff>
    </xdr:to>
    <xdr:graphicFrame macro="">
      <xdr:nvGraphicFramePr>
        <xdr:cNvPr id="44" name="Chart 43">
          <a:extLst>
            <a:ext uri="{FF2B5EF4-FFF2-40B4-BE49-F238E27FC236}">
              <a16:creationId xmlns:a16="http://schemas.microsoft.com/office/drawing/2014/main" id="{D63D7D37-3331-43AA-AC2B-E7AF7F175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111125</xdr:colOff>
      <xdr:row>16</xdr:row>
      <xdr:rowOff>103188</xdr:rowOff>
    </xdr:from>
    <xdr:to>
      <xdr:col>7</xdr:col>
      <xdr:colOff>285750</xdr:colOff>
      <xdr:row>17</xdr:row>
      <xdr:rowOff>119063</xdr:rowOff>
    </xdr:to>
    <xdr:sp macro="" textlink="">
      <xdr:nvSpPr>
        <xdr:cNvPr id="45" name="TextBox 44">
          <a:extLst>
            <a:ext uri="{FF2B5EF4-FFF2-40B4-BE49-F238E27FC236}">
              <a16:creationId xmlns:a16="http://schemas.microsoft.com/office/drawing/2014/main" id="{245FFC58-A97E-49FA-A1EE-CFE39C11AC18}"/>
            </a:ext>
          </a:extLst>
        </xdr:cNvPr>
        <xdr:cNvSpPr txBox="1"/>
      </xdr:nvSpPr>
      <xdr:spPr>
        <a:xfrm>
          <a:off x="2555875" y="3151188"/>
          <a:ext cx="2008188" cy="206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a:t>
          </a:r>
          <a:r>
            <a:rPr lang="en-IN" sz="1050" baseline="0"/>
            <a:t>. of Patient by Age group</a:t>
          </a:r>
          <a:endParaRPr lang="en-IN" sz="1050"/>
        </a:p>
      </xdr:txBody>
    </xdr:sp>
    <xdr:clientData/>
  </xdr:twoCellAnchor>
  <xdr:twoCellAnchor>
    <xdr:from>
      <xdr:col>10</xdr:col>
      <xdr:colOff>166687</xdr:colOff>
      <xdr:row>0</xdr:row>
      <xdr:rowOff>79376</xdr:rowOff>
    </xdr:from>
    <xdr:to>
      <xdr:col>12</xdr:col>
      <xdr:colOff>357187</xdr:colOff>
      <xdr:row>7</xdr:row>
      <xdr:rowOff>39688</xdr:rowOff>
    </xdr:to>
    <xdr:graphicFrame macro="">
      <xdr:nvGraphicFramePr>
        <xdr:cNvPr id="46" name="Chart 45">
          <a:extLst>
            <a:ext uri="{FF2B5EF4-FFF2-40B4-BE49-F238E27FC236}">
              <a16:creationId xmlns:a16="http://schemas.microsoft.com/office/drawing/2014/main" id="{F388DA95-E4CE-41FF-AF21-5B7CBCB07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190499</xdr:colOff>
      <xdr:row>6</xdr:row>
      <xdr:rowOff>15876</xdr:rowOff>
    </xdr:from>
    <xdr:to>
      <xdr:col>12</xdr:col>
      <xdr:colOff>317500</xdr:colOff>
      <xdr:row>7</xdr:row>
      <xdr:rowOff>7938</xdr:rowOff>
    </xdr:to>
    <xdr:sp macro="" textlink="">
      <xdr:nvSpPr>
        <xdr:cNvPr id="50" name="TextBox 49">
          <a:extLst>
            <a:ext uri="{FF2B5EF4-FFF2-40B4-BE49-F238E27FC236}">
              <a16:creationId xmlns:a16="http://schemas.microsoft.com/office/drawing/2014/main" id="{4FE06422-AD71-459D-B9B6-E7D3B08CE7F5}"/>
            </a:ext>
          </a:extLst>
        </xdr:cNvPr>
        <xdr:cNvSpPr txBox="1"/>
      </xdr:nvSpPr>
      <xdr:spPr>
        <a:xfrm>
          <a:off x="6302374" y="1158876"/>
          <a:ext cx="1349376" cy="18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Patient</a:t>
          </a:r>
          <a:r>
            <a:rPr lang="en-IN" sz="1050" baseline="0"/>
            <a:t> Attend Status</a:t>
          </a:r>
          <a:endParaRPr lang="en-IN" sz="1050"/>
        </a:p>
      </xdr:txBody>
    </xdr:sp>
    <xdr:clientData/>
  </xdr:twoCellAnchor>
  <xdr:twoCellAnchor>
    <xdr:from>
      <xdr:col>12</xdr:col>
      <xdr:colOff>357189</xdr:colOff>
      <xdr:row>0</xdr:row>
      <xdr:rowOff>95250</xdr:rowOff>
    </xdr:from>
    <xdr:to>
      <xdr:col>14</xdr:col>
      <xdr:colOff>555626</xdr:colOff>
      <xdr:row>7</xdr:row>
      <xdr:rowOff>39688</xdr:rowOff>
    </xdr:to>
    <xdr:graphicFrame macro="">
      <xdr:nvGraphicFramePr>
        <xdr:cNvPr id="51" name="Chart 50">
          <a:extLst>
            <a:ext uri="{FF2B5EF4-FFF2-40B4-BE49-F238E27FC236}">
              <a16:creationId xmlns:a16="http://schemas.microsoft.com/office/drawing/2014/main" id="{B1EC8C29-D231-48B0-AF87-BA7A61068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412750</xdr:colOff>
      <xdr:row>6</xdr:row>
      <xdr:rowOff>31751</xdr:rowOff>
    </xdr:from>
    <xdr:to>
      <xdr:col>14</xdr:col>
      <xdr:colOff>579438</xdr:colOff>
      <xdr:row>7</xdr:row>
      <xdr:rowOff>63501</xdr:rowOff>
    </xdr:to>
    <xdr:sp macro="" textlink="">
      <xdr:nvSpPr>
        <xdr:cNvPr id="52" name="TextBox 51">
          <a:extLst>
            <a:ext uri="{FF2B5EF4-FFF2-40B4-BE49-F238E27FC236}">
              <a16:creationId xmlns:a16="http://schemas.microsoft.com/office/drawing/2014/main" id="{42F1CF01-E48A-4B5C-887B-A670EE4D714B}"/>
            </a:ext>
          </a:extLst>
        </xdr:cNvPr>
        <xdr:cNvSpPr txBox="1"/>
      </xdr:nvSpPr>
      <xdr:spPr>
        <a:xfrm>
          <a:off x="7747000" y="1174751"/>
          <a:ext cx="138906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Gender</a:t>
          </a:r>
          <a:r>
            <a:rPr lang="en-IN" sz="1050" baseline="0"/>
            <a:t> Wise Analysis</a:t>
          </a:r>
        </a:p>
        <a:p>
          <a:endParaRPr lang="en-IN" sz="1050"/>
        </a:p>
      </xdr:txBody>
    </xdr:sp>
    <xdr:clientData/>
  </xdr:twoCellAnchor>
  <xdr:twoCellAnchor>
    <xdr:from>
      <xdr:col>10</xdr:col>
      <xdr:colOff>190500</xdr:colOff>
      <xdr:row>7</xdr:row>
      <xdr:rowOff>95250</xdr:rowOff>
    </xdr:from>
    <xdr:to>
      <xdr:col>14</xdr:col>
      <xdr:colOff>539750</xdr:colOff>
      <xdr:row>16</xdr:row>
      <xdr:rowOff>71438</xdr:rowOff>
    </xdr:to>
    <xdr:graphicFrame macro="">
      <xdr:nvGraphicFramePr>
        <xdr:cNvPr id="53" name="Chart 52">
          <a:extLst>
            <a:ext uri="{FF2B5EF4-FFF2-40B4-BE49-F238E27FC236}">
              <a16:creationId xmlns:a16="http://schemas.microsoft.com/office/drawing/2014/main" id="{73C30185-6350-4980-81BE-852DA1BFB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206374</xdr:colOff>
      <xdr:row>16</xdr:row>
      <xdr:rowOff>39688</xdr:rowOff>
    </xdr:from>
    <xdr:to>
      <xdr:col>14</xdr:col>
      <xdr:colOff>484187</xdr:colOff>
      <xdr:row>17</xdr:row>
      <xdr:rowOff>71438</xdr:rowOff>
    </xdr:to>
    <xdr:sp macro="" textlink="">
      <xdr:nvSpPr>
        <xdr:cNvPr id="55" name="TextBox 54">
          <a:extLst>
            <a:ext uri="{FF2B5EF4-FFF2-40B4-BE49-F238E27FC236}">
              <a16:creationId xmlns:a16="http://schemas.microsoft.com/office/drawing/2014/main" id="{8E661D73-5DD9-4A4C-A475-94F9DB8DCCAD}"/>
            </a:ext>
          </a:extLst>
        </xdr:cNvPr>
        <xdr:cNvSpPr txBox="1"/>
      </xdr:nvSpPr>
      <xdr:spPr>
        <a:xfrm>
          <a:off x="6318249" y="3087688"/>
          <a:ext cx="272256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t>No. of Patient by Department Referal</a:t>
          </a:r>
        </a:p>
        <a:p>
          <a:endParaRPr lang="en-IN" sz="1050"/>
        </a:p>
      </xdr:txBody>
    </xdr:sp>
    <xdr:clientData/>
  </xdr:twoCellAnchor>
  <xdr:twoCellAnchor editAs="oneCell">
    <xdr:from>
      <xdr:col>7</xdr:col>
      <xdr:colOff>95250</xdr:colOff>
      <xdr:row>0</xdr:row>
      <xdr:rowOff>158751</xdr:rowOff>
    </xdr:from>
    <xdr:to>
      <xdr:col>10</xdr:col>
      <xdr:colOff>31750</xdr:colOff>
      <xdr:row>2</xdr:row>
      <xdr:rowOff>166689</xdr:rowOff>
    </xdr:to>
    <mc:AlternateContent xmlns:mc="http://schemas.openxmlformats.org/markup-compatibility/2006" xmlns:a14="http://schemas.microsoft.com/office/drawing/2010/main">
      <mc:Choice Requires="a14">
        <xdr:graphicFrame macro="">
          <xdr:nvGraphicFramePr>
            <xdr:cNvPr id="56" name="Date (Year)">
              <a:extLst>
                <a:ext uri="{FF2B5EF4-FFF2-40B4-BE49-F238E27FC236}">
                  <a16:creationId xmlns:a16="http://schemas.microsoft.com/office/drawing/2014/main" id="{2EBF7F13-6F47-429B-B141-CADCFA88DE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373563" y="158751"/>
              <a:ext cx="1770062" cy="388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400049</xdr:colOff>
      <xdr:row>1</xdr:row>
      <xdr:rowOff>114300</xdr:rowOff>
    </xdr:from>
    <xdr:to>
      <xdr:col>14</xdr:col>
      <xdr:colOff>523874</xdr:colOff>
      <xdr:row>13</xdr:row>
      <xdr:rowOff>133350</xdr:rowOff>
    </xdr:to>
    <xdr:graphicFrame macro="">
      <xdr:nvGraphicFramePr>
        <xdr:cNvPr id="2" name="Chart 1">
          <a:extLst>
            <a:ext uri="{FF2B5EF4-FFF2-40B4-BE49-F238E27FC236}">
              <a16:creationId xmlns:a16="http://schemas.microsoft.com/office/drawing/2014/main" id="{EBDC4018-B6CF-43E0-B000-EC100C278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0.00587</cdr:x>
      <cdr:y>0.02204</cdr:y>
    </cdr:from>
    <cdr:to>
      <cdr:x>0.04327</cdr:x>
      <cdr:y>0.16253</cdr:y>
    </cdr:to>
    <cdr:pic>
      <cdr:nvPicPr>
        <cdr:cNvPr id="3"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C073B59-9B08-4563-A520-38B53ACA4C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23850" cy="3238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152401</xdr:colOff>
      <xdr:row>1</xdr:row>
      <xdr:rowOff>152400</xdr:rowOff>
    </xdr:from>
    <xdr:to>
      <xdr:col>10</xdr:col>
      <xdr:colOff>352425</xdr:colOff>
      <xdr:row>13</xdr:row>
      <xdr:rowOff>123825</xdr:rowOff>
    </xdr:to>
    <xdr:graphicFrame macro="">
      <xdr:nvGraphicFramePr>
        <xdr:cNvPr id="3" name="Chart 2">
          <a:extLst>
            <a:ext uri="{FF2B5EF4-FFF2-40B4-BE49-F238E27FC236}">
              <a16:creationId xmlns:a16="http://schemas.microsoft.com/office/drawing/2014/main" id="{35483A58-2736-43F2-86E7-F71ED580E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152401</xdr:colOff>
      <xdr:row>1</xdr:row>
      <xdr:rowOff>142876</xdr:rowOff>
    </xdr:from>
    <xdr:to>
      <xdr:col>0</xdr:col>
      <xdr:colOff>476251</xdr:colOff>
      <xdr:row>3</xdr:row>
      <xdr:rowOff>85726</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7C073B59-9B08-4563-A520-38B53ACA4C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2401" y="333376"/>
          <a:ext cx="323850" cy="323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361950</xdr:colOff>
      <xdr:row>2</xdr:row>
      <xdr:rowOff>9526</xdr:rowOff>
    </xdr:from>
    <xdr:to>
      <xdr:col>14</xdr:col>
      <xdr:colOff>571500</xdr:colOff>
      <xdr:row>14</xdr:row>
      <xdr:rowOff>0</xdr:rowOff>
    </xdr:to>
    <xdr:graphicFrame macro="">
      <xdr:nvGraphicFramePr>
        <xdr:cNvPr id="3" name="Chart 2">
          <a:extLst>
            <a:ext uri="{FF2B5EF4-FFF2-40B4-BE49-F238E27FC236}">
              <a16:creationId xmlns:a16="http://schemas.microsoft.com/office/drawing/2014/main" id="{C33EB755-1401-439D-855C-4092D4479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0.00581</cdr:x>
      <cdr:y>0.02232</cdr:y>
    </cdr:from>
    <cdr:to>
      <cdr:x>0.04285</cdr:x>
      <cdr:y>0.16457</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C073B59-9B08-4563-A520-38B53ACA4C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23850" cy="3238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5902775" createdVersion="5" refreshedVersion="7" minRefreshableVersion="3" recordCount="0" supportSubquery="1" supportAdvancedDrill="1" xr:uid="{E27B117E-9DED-48B3-8015-CFB4D2BB90AE}">
  <cacheSource type="external" connectionId="3"/>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613426" createdVersion="5" refreshedVersion="7" minRefreshableVersion="3" recordCount="0" supportSubquery="1" supportAdvancedDrill="1" xr:uid="{E2965C84-B53D-4877-833A-1605F8945C8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6712961" createdVersion="5" refreshedVersion="7" minRefreshableVersion="3" recordCount="0" supportSubquery="1" supportAdvancedDrill="1" xr:uid="{15DE2A56-E8B0-44FE-AA06-86CA5BDAF37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7060184" createdVersion="5" refreshedVersion="7" minRefreshableVersion="3" recordCount="0" supportSubquery="1" supportAdvancedDrill="1" xr:uid="{8BD20B39-6793-43F0-8375-F85030BACC7F}">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7175922" createdVersion="5" refreshedVersion="7" minRefreshableVersion="3" recordCount="0" supportSubquery="1" supportAdvancedDrill="1" xr:uid="{C9342CCA-FAE6-4B3C-9BA5-6BA661339D79}">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7523146" createdVersion="5" refreshedVersion="7" minRefreshableVersion="3" recordCount="0" supportSubquery="1" supportAdvancedDrill="1" xr:uid="{2C69BF90-3121-4180-A4AB-9C2DF4AD7AF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8101854" createdVersion="5" refreshedVersion="7" minRefreshableVersion="3" recordCount="0" supportSubquery="1" supportAdvancedDrill="1" xr:uid="{2622FA8D-062F-4BE4-A713-BF97FF8542E1}">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21-Feb"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8796293" createdVersion="5" refreshedVersion="7" minRefreshableVersion="3" recordCount="0" supportSubquery="1" supportAdvancedDrill="1" xr:uid="{F3C1958C-3C52-4FA4-8206-4867C8A996A7}">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9375001" createdVersion="5" refreshedVersion="7" minRefreshableVersion="3" recordCount="0" supportSubquery="1" supportAdvancedDrill="1" xr:uid="{82ACE3CA-03D3-4A40-9156-50C8A7F7CE91}">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59953701" createdVersion="5" refreshedVersion="7" minRefreshableVersion="3" recordCount="0" supportSubquery="1" supportAdvancedDrill="1" xr:uid="{4ACB8A46-9608-47F9-B6C1-5F093CFAEFE1}">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60416663" createdVersion="5" refreshedVersion="7" minRefreshableVersion="3" recordCount="0" supportSubquery="1" supportAdvancedDrill="1" xr:uid="{B9555904-FBCF-485A-915E-631AA2D9AAA1}">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62460995371" createdVersion="5" refreshedVersion="7" minRefreshableVersion="3" recordCount="0" supportSubquery="1" supportAdvancedDrill="1" xr:uid="{DAE5B454-AF4E-47DC-AA2B-716A300D868F}">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fik Ansari" refreshedDate="46209.75036377315" createdVersion="3" refreshedVersion="7" minRefreshableVersion="3" recordCount="0" supportSubquery="1" supportAdvancedDrill="1" xr:uid="{4C2A8D4D-55C0-4F62-8FB7-63CCEA1B46C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7882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40756-ECD0-4446-A67E-8824DE77A4AF}" name="PivotTable11" cacheId="3"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35">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3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97C49-464E-4404-9DD6-9AE81B62954F}" name="PivotTable5" cacheId="7" applyNumberFormats="0" applyBorderFormats="0" applyFontFormats="0" applyPatternFormats="0" applyAlignmentFormats="0" applyWidthHeightFormats="1" dataCaption="Values" tag="6175a791-6827-49a8-97c4-cf15d4a2eb4d" updatedVersion="7" minRefreshableVersion="3" subtotalHiddenItems="1" itemPrintTitles="1" createdVersion="5" indent="0" outline="1" outlineData="1" multipleFieldFilters="0" chartFormat="31">
  <location ref="F4:G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
      <pivotArea outline="0" collapsedLevelsAreSubtotals="1" fieldPosition="0"/>
    </format>
  </formats>
  <chartFormats count="3">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4EBD1-D6B1-4F00-839D-16FDB7DDB39E}" name="PivotTable4" cacheId="6" applyNumberFormats="0" applyBorderFormats="0" applyFontFormats="0" applyPatternFormats="0" applyAlignmentFormats="0" applyWidthHeightFormats="1" dataCaption="Values" tag="6175a791-6827-49a8-97c4-cf15d4a2eb4d" updatedVersion="7" minRefreshableVersion="3" subtotalHiddenItems="1" itemPrintTitles="1" createdVersion="5" indent="0" outline="1" outlineData="1" multipleFieldFilters="0" chartFormat="22">
  <location ref="C4:D36" firstHeaderRow="1" firstDataRow="1" firstDataCol="1"/>
  <pivotFields count="4">
    <pivotField dataField="1" subtotalTop="0" showAll="0" defaultSubtotal="0"/>
    <pivotField axis="axisRow" allDrilled="1" subtotalTop="0" showAll="0" defaultSubtotal="0" defaultAttributeDrillState="1">
      <items count="32">
        <item x="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32440-207A-4930-8881-901713860188}" name="PivotTable10" cacheId="2"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30">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AAC8D-846F-4089-A12A-EF6CCA04D92A}" name="PivotTable7" cacheId="9"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16">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24558-7C39-4B14-A480-E40BD489B5C9}" name="PivotTable2" cacheId="4" applyNumberFormats="0" applyBorderFormats="0" applyFontFormats="0" applyPatternFormats="0" applyAlignmentFormats="0" applyWidthHeightFormats="1" dataCaption="Values" tag="9093d9fe-7967-40a1-81d9-4b8140fb2820"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F4A00B-63BC-4A56-833F-81A8DEE8D4D0}" name="PivotTable9" cacheId="11"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26">
  <location ref="A64: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0">
      <pivotArea outline="0" collapsedLevelsAreSubtotals="1" fieldPosition="0"/>
    </format>
    <format dxfId="9">
      <pivotArea collapsedLevelsAreSubtotals="1" fieldPosition="0">
        <references count="1">
          <reference field="2" count="0"/>
        </references>
      </pivotArea>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78587E-818F-47CF-A8E6-AF36B8CEB42C}" name="PivotTable3" cacheId="5"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26A3DF-2C3C-48C3-8ABD-2072D8E21724}" name="PivotTable6" cacheId="8" applyNumberFormats="0" applyBorderFormats="0" applyFontFormats="0" applyPatternFormats="0" applyAlignmentFormats="0" applyWidthHeightFormats="1" dataCaption="Values" tag="6175a791-6827-49a8-97c4-cf15d4a2eb4d" updatedVersion="7" minRefreshableVersion="3" subtotalHiddenItems="1" itemPrintTitles="1" createdVersion="5" indent="0" outline="1" outlineData="1" multipleFieldFilters="0" chartFormat="36">
  <location ref="I4:J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5"/>
        <item x="16"/>
        <item x="17"/>
        <item x="18"/>
        <item x="19"/>
        <item x="20"/>
        <item x="21"/>
        <item x="22"/>
        <item x="23"/>
        <item x="24"/>
        <item x="25"/>
        <item x="26"/>
        <item x="27"/>
        <item x="28"/>
        <item x="29"/>
        <item x="30"/>
        <item x="1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3">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5D6401-3844-4A71-B7F9-C8A079666D4D}" name="PivotTable8" cacheId="10"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20">
  <location ref="A52: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843180-1B64-4654-BAE3-CAB7505E436C}" name="PivotTable1" cacheId="1" applyNumberFormats="0" applyBorderFormats="0" applyFontFormats="0" applyPatternFormats="0" applyAlignmentFormats="0" applyWidthHeightFormats="1" dataCaption="Values" tag="6175a791-6827-49a8-97c4-cf15d4a2eb4d"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D290D1-E88C-450E-A63C-0259EB817A8B}" name="PivotTable12" cacheId="0" applyNumberFormats="0" applyBorderFormats="0" applyFontFormats="0" applyPatternFormats="0" applyAlignmentFormats="0" applyWidthHeightFormats="1" dataCaption="Values" tag="12cc3750-4351-4765-afb0-476d4619b3d5" updatedVersion="7" minRefreshableVersion="3" subtotalHiddenItems="1" itemPrintTitles="1" createdVersion="5" indent="0" outline="1" outlineData="1" multipleFieldFilters="0" chartFormat="35">
  <location ref="A90: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5">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0659FCC-4332-4A52-AF57-91190302D0F7}"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4788227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EF6561E-03E3-43EC-AFE6-6C64840EE191}"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788227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5F60C59-3C4C-46C1-A12A-DA603B501F28}" cache="Slicer_Date__Month" caption="Date (Month)" showCaption="0" level="1" style="my style" rowHeight="180000"/>
  <slicer name="Date (Year)" xr10:uid="{4F7636CA-8687-4708-B245-0D781F118ACD}" cache="Slicer_Date__Year" caption="Date (Year)" columnCount="2" showCaption="0"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1DE2-93D9-43D7-A841-38858950D615}">
  <dimension ref="A3:J92"/>
  <sheetViews>
    <sheetView topLeftCell="A79" workbookViewId="0">
      <selection activeCell="P6" sqref="P6"/>
    </sheetView>
  </sheetViews>
  <sheetFormatPr defaultRowHeight="15" x14ac:dyDescent="0.25"/>
  <cols>
    <col min="1" max="1" width="17.85546875" customWidth="1"/>
    <col min="2" max="2" width="30.5703125" customWidth="1"/>
    <col min="3" max="3" width="11.140625" customWidth="1"/>
    <col min="4" max="4" width="28" customWidth="1"/>
    <col min="5" max="5" width="6.85546875" bestFit="1" customWidth="1"/>
    <col min="6" max="6" width="17" bestFit="1" customWidth="1"/>
    <col min="7" max="7" width="25.140625" bestFit="1" customWidth="1"/>
    <col min="9" max="9" width="17" bestFit="1" customWidth="1"/>
    <col min="10" max="10" width="30.7109375" bestFit="1" customWidth="1"/>
  </cols>
  <sheetData>
    <row r="3" spans="1:10" x14ac:dyDescent="0.25">
      <c r="A3" t="s">
        <v>1</v>
      </c>
      <c r="C3" t="s">
        <v>6</v>
      </c>
      <c r="F3" t="s">
        <v>7</v>
      </c>
      <c r="I3" t="s">
        <v>10</v>
      </c>
    </row>
    <row r="4" spans="1:10" x14ac:dyDescent="0.25">
      <c r="A4" t="s">
        <v>0</v>
      </c>
      <c r="C4" s="4" t="s">
        <v>5</v>
      </c>
      <c r="D4" t="s">
        <v>0</v>
      </c>
      <c r="F4" s="4" t="s">
        <v>5</v>
      </c>
      <c r="G4" t="s">
        <v>2</v>
      </c>
      <c r="I4" s="4" t="s">
        <v>5</v>
      </c>
      <c r="J4" t="s">
        <v>3</v>
      </c>
    </row>
    <row r="5" spans="1:10" x14ac:dyDescent="0.25">
      <c r="A5" s="1">
        <v>519</v>
      </c>
      <c r="C5" s="5" t="s">
        <v>46</v>
      </c>
      <c r="D5" s="1">
        <v>14</v>
      </c>
      <c r="F5" s="5" t="s">
        <v>46</v>
      </c>
      <c r="G5" s="2">
        <v>35.642857142857146</v>
      </c>
      <c r="I5" s="5" t="s">
        <v>46</v>
      </c>
      <c r="J5" s="2">
        <v>7.4</v>
      </c>
    </row>
    <row r="6" spans="1:10" x14ac:dyDescent="0.25">
      <c r="C6" s="5" t="s">
        <v>47</v>
      </c>
      <c r="D6" s="1">
        <v>21</v>
      </c>
      <c r="F6" s="5" t="s">
        <v>47</v>
      </c>
      <c r="G6" s="2">
        <v>27</v>
      </c>
      <c r="I6" s="5" t="s">
        <v>47</v>
      </c>
      <c r="J6" s="2">
        <v>5.6</v>
      </c>
    </row>
    <row r="7" spans="1:10" x14ac:dyDescent="0.25">
      <c r="C7" s="5" t="s">
        <v>48</v>
      </c>
      <c r="D7" s="1">
        <v>21</v>
      </c>
      <c r="F7" s="5" t="s">
        <v>48</v>
      </c>
      <c r="G7" s="2">
        <v>36.047619047619051</v>
      </c>
      <c r="I7" s="5" t="s">
        <v>48</v>
      </c>
      <c r="J7" s="2">
        <v>6.7142857142857144</v>
      </c>
    </row>
    <row r="8" spans="1:10" x14ac:dyDescent="0.25">
      <c r="A8" t="s">
        <v>2</v>
      </c>
      <c r="C8" s="5" t="s">
        <v>49</v>
      </c>
      <c r="D8" s="1">
        <v>15</v>
      </c>
      <c r="F8" s="5" t="s">
        <v>49</v>
      </c>
      <c r="G8" s="2">
        <v>38.866666666666667</v>
      </c>
      <c r="I8" s="5" t="s">
        <v>49</v>
      </c>
      <c r="J8" s="2">
        <v>6</v>
      </c>
    </row>
    <row r="9" spans="1:10" x14ac:dyDescent="0.25">
      <c r="A9" s="2">
        <v>35.809248554913296</v>
      </c>
      <c r="C9" s="5" t="s">
        <v>50</v>
      </c>
      <c r="D9" s="1">
        <v>11</v>
      </c>
      <c r="F9" s="5" t="s">
        <v>50</v>
      </c>
      <c r="G9" s="2">
        <v>35.909090909090907</v>
      </c>
      <c r="I9" s="5" t="s">
        <v>50</v>
      </c>
      <c r="J9" s="2">
        <v>4</v>
      </c>
    </row>
    <row r="10" spans="1:10" x14ac:dyDescent="0.25">
      <c r="C10" s="5" t="s">
        <v>51</v>
      </c>
      <c r="D10" s="1">
        <v>17</v>
      </c>
      <c r="F10" s="5" t="s">
        <v>51</v>
      </c>
      <c r="G10" s="2">
        <v>38.470588235294116</v>
      </c>
      <c r="I10" s="5" t="s">
        <v>51</v>
      </c>
      <c r="J10" s="2">
        <v>4.7142857142857144</v>
      </c>
    </row>
    <row r="11" spans="1:10" x14ac:dyDescent="0.25">
      <c r="C11" s="5" t="s">
        <v>52</v>
      </c>
      <c r="D11" s="1">
        <v>15</v>
      </c>
      <c r="F11" s="5" t="s">
        <v>52</v>
      </c>
      <c r="G11" s="2">
        <v>36.733333333333334</v>
      </c>
      <c r="I11" s="5" t="s">
        <v>52</v>
      </c>
      <c r="J11" s="2">
        <v>1.8</v>
      </c>
    </row>
    <row r="12" spans="1:10" x14ac:dyDescent="0.25">
      <c r="A12" t="s">
        <v>3</v>
      </c>
      <c r="C12" s="5" t="s">
        <v>53</v>
      </c>
      <c r="D12" s="1">
        <v>17</v>
      </c>
      <c r="F12" s="5" t="s">
        <v>53</v>
      </c>
      <c r="G12" s="2">
        <v>34.588235294117645</v>
      </c>
      <c r="I12" s="5" t="s">
        <v>53</v>
      </c>
      <c r="J12" s="2">
        <v>4.833333333333333</v>
      </c>
    </row>
    <row r="13" spans="1:10" x14ac:dyDescent="0.25">
      <c r="A13" s="2">
        <v>5.1455696202531644</v>
      </c>
      <c r="C13" s="5" t="s">
        <v>54</v>
      </c>
      <c r="D13" s="1">
        <v>13</v>
      </c>
      <c r="F13" s="5" t="s">
        <v>54</v>
      </c>
      <c r="G13" s="2">
        <v>37.53846153846154</v>
      </c>
      <c r="I13" s="5" t="s">
        <v>54</v>
      </c>
      <c r="J13" s="2">
        <v>4.25</v>
      </c>
    </row>
    <row r="14" spans="1:10" x14ac:dyDescent="0.25">
      <c r="C14" s="5" t="s">
        <v>55</v>
      </c>
      <c r="D14" s="1">
        <v>24</v>
      </c>
      <c r="F14" s="5" t="s">
        <v>55</v>
      </c>
      <c r="G14" s="2">
        <v>31.708333333333332</v>
      </c>
      <c r="I14" s="5" t="s">
        <v>55</v>
      </c>
      <c r="J14" s="2">
        <v>4.5999999999999996</v>
      </c>
    </row>
    <row r="15" spans="1:10" x14ac:dyDescent="0.25">
      <c r="C15" s="5" t="s">
        <v>56</v>
      </c>
      <c r="D15" s="1">
        <v>13</v>
      </c>
      <c r="F15" s="5" t="s">
        <v>56</v>
      </c>
      <c r="G15" s="2">
        <v>28.923076923076923</v>
      </c>
      <c r="I15" s="5" t="s">
        <v>56</v>
      </c>
      <c r="J15" s="2">
        <v>6.5</v>
      </c>
    </row>
    <row r="16" spans="1:10" x14ac:dyDescent="0.25">
      <c r="C16" s="5" t="s">
        <v>57</v>
      </c>
      <c r="D16" s="1">
        <v>14</v>
      </c>
      <c r="F16" s="5" t="s">
        <v>57</v>
      </c>
      <c r="G16" s="2">
        <v>42.071428571428569</v>
      </c>
      <c r="I16" s="5" t="s">
        <v>57</v>
      </c>
      <c r="J16" s="2">
        <v>5</v>
      </c>
    </row>
    <row r="17" spans="3:10" x14ac:dyDescent="0.25">
      <c r="C17" s="5" t="s">
        <v>58</v>
      </c>
      <c r="D17" s="1">
        <v>12</v>
      </c>
      <c r="F17" s="5" t="s">
        <v>58</v>
      </c>
      <c r="G17" s="2">
        <v>35.833333333333336</v>
      </c>
      <c r="I17" s="5" t="s">
        <v>58</v>
      </c>
      <c r="J17" s="2">
        <v>6</v>
      </c>
    </row>
    <row r="18" spans="3:10" x14ac:dyDescent="0.25">
      <c r="C18" s="5" t="s">
        <v>59</v>
      </c>
      <c r="D18" s="1">
        <v>11</v>
      </c>
      <c r="F18" s="5" t="s">
        <v>59</v>
      </c>
      <c r="G18" s="2">
        <v>28.727272727272727</v>
      </c>
      <c r="I18" s="5" t="s">
        <v>59</v>
      </c>
      <c r="J18" s="2">
        <v>4.7142857142857144</v>
      </c>
    </row>
    <row r="19" spans="3:10" x14ac:dyDescent="0.25">
      <c r="C19" s="5" t="s">
        <v>60</v>
      </c>
      <c r="D19" s="1">
        <v>16</v>
      </c>
      <c r="F19" s="5" t="s">
        <v>60</v>
      </c>
      <c r="G19" s="2">
        <v>35.75</v>
      </c>
      <c r="I19" s="5" t="s">
        <v>61</v>
      </c>
      <c r="J19" s="2">
        <v>7.2</v>
      </c>
    </row>
    <row r="20" spans="3:10" x14ac:dyDescent="0.25">
      <c r="C20" s="5" t="s">
        <v>61</v>
      </c>
      <c r="D20" s="1">
        <v>20</v>
      </c>
      <c r="F20" s="5" t="s">
        <v>61</v>
      </c>
      <c r="G20" s="2">
        <v>34.75</v>
      </c>
      <c r="I20" s="5" t="s">
        <v>62</v>
      </c>
      <c r="J20" s="2">
        <v>4.333333333333333</v>
      </c>
    </row>
    <row r="21" spans="3:10" x14ac:dyDescent="0.25">
      <c r="C21" s="5" t="s">
        <v>62</v>
      </c>
      <c r="D21" s="1">
        <v>15</v>
      </c>
      <c r="F21" s="5" t="s">
        <v>62</v>
      </c>
      <c r="G21" s="2">
        <v>37.666666666666664</v>
      </c>
      <c r="I21" s="5" t="s">
        <v>63</v>
      </c>
      <c r="J21" s="2">
        <v>3.7777777777777777</v>
      </c>
    </row>
    <row r="22" spans="3:10" x14ac:dyDescent="0.25">
      <c r="C22" s="5" t="s">
        <v>63</v>
      </c>
      <c r="D22" s="1">
        <v>19</v>
      </c>
      <c r="F22" s="5" t="s">
        <v>63</v>
      </c>
      <c r="G22" s="2">
        <v>40.421052631578945</v>
      </c>
      <c r="I22" s="5" t="s">
        <v>64</v>
      </c>
      <c r="J22" s="2">
        <v>3.6666666666666665</v>
      </c>
    </row>
    <row r="23" spans="3:10" x14ac:dyDescent="0.25">
      <c r="C23" s="5" t="s">
        <v>64</v>
      </c>
      <c r="D23" s="1">
        <v>16</v>
      </c>
      <c r="F23" s="5" t="s">
        <v>64</v>
      </c>
      <c r="G23" s="2">
        <v>33.75</v>
      </c>
      <c r="I23" s="5" t="s">
        <v>65</v>
      </c>
      <c r="J23" s="2">
        <v>4</v>
      </c>
    </row>
    <row r="24" spans="3:10" x14ac:dyDescent="0.25">
      <c r="C24" s="5" t="s">
        <v>65</v>
      </c>
      <c r="D24" s="1">
        <v>17</v>
      </c>
      <c r="F24" s="5" t="s">
        <v>65</v>
      </c>
      <c r="G24" s="2">
        <v>32.764705882352942</v>
      </c>
      <c r="I24" s="5" t="s">
        <v>66</v>
      </c>
      <c r="J24" s="2">
        <v>5.833333333333333</v>
      </c>
    </row>
    <row r="25" spans="3:10" x14ac:dyDescent="0.25">
      <c r="C25" s="5" t="s">
        <v>66</v>
      </c>
      <c r="D25" s="1">
        <v>28</v>
      </c>
      <c r="F25" s="5" t="s">
        <v>66</v>
      </c>
      <c r="G25" s="2">
        <v>37.357142857142854</v>
      </c>
      <c r="I25" s="5" t="s">
        <v>67</v>
      </c>
      <c r="J25" s="2">
        <v>5.666666666666667</v>
      </c>
    </row>
    <row r="26" spans="3:10" x14ac:dyDescent="0.25">
      <c r="C26" s="5" t="s">
        <v>67</v>
      </c>
      <c r="D26" s="1">
        <v>22</v>
      </c>
      <c r="F26" s="5" t="s">
        <v>67</v>
      </c>
      <c r="G26" s="2">
        <v>37.227272727272727</v>
      </c>
      <c r="I26" s="5" t="s">
        <v>68</v>
      </c>
      <c r="J26" s="2">
        <v>5.5</v>
      </c>
    </row>
    <row r="27" spans="3:10" x14ac:dyDescent="0.25">
      <c r="C27" s="5" t="s">
        <v>68</v>
      </c>
      <c r="D27" s="1">
        <v>20</v>
      </c>
      <c r="F27" s="5" t="s">
        <v>68</v>
      </c>
      <c r="G27" s="2">
        <v>36.700000000000003</v>
      </c>
      <c r="I27" s="5" t="s">
        <v>69</v>
      </c>
      <c r="J27" s="2">
        <v>5.5</v>
      </c>
    </row>
    <row r="28" spans="3:10" x14ac:dyDescent="0.25">
      <c r="C28" s="5" t="s">
        <v>69</v>
      </c>
      <c r="D28" s="1">
        <v>17</v>
      </c>
      <c r="F28" s="5" t="s">
        <v>69</v>
      </c>
      <c r="G28" s="2">
        <v>43.058823529411768</v>
      </c>
      <c r="I28" s="5" t="s">
        <v>70</v>
      </c>
      <c r="J28" s="2">
        <v>7</v>
      </c>
    </row>
    <row r="29" spans="3:10" x14ac:dyDescent="0.25">
      <c r="C29" s="5" t="s">
        <v>70</v>
      </c>
      <c r="D29" s="1">
        <v>18</v>
      </c>
      <c r="F29" s="5" t="s">
        <v>70</v>
      </c>
      <c r="G29" s="2">
        <v>39.777777777777779</v>
      </c>
      <c r="I29" s="5" t="s">
        <v>71</v>
      </c>
      <c r="J29" s="2">
        <v>7</v>
      </c>
    </row>
    <row r="30" spans="3:10" x14ac:dyDescent="0.25">
      <c r="C30" s="5" t="s">
        <v>71</v>
      </c>
      <c r="D30" s="1">
        <v>13</v>
      </c>
      <c r="F30" s="5" t="s">
        <v>71</v>
      </c>
      <c r="G30" s="2">
        <v>40.692307692307693</v>
      </c>
      <c r="I30" s="5" t="s">
        <v>72</v>
      </c>
      <c r="J30" s="2">
        <v>4</v>
      </c>
    </row>
    <row r="31" spans="3:10" x14ac:dyDescent="0.25">
      <c r="C31" s="5" t="s">
        <v>72</v>
      </c>
      <c r="D31" s="1">
        <v>13</v>
      </c>
      <c r="F31" s="5" t="s">
        <v>72</v>
      </c>
      <c r="G31" s="2">
        <v>34.46153846153846</v>
      </c>
      <c r="I31" s="5" t="s">
        <v>73</v>
      </c>
      <c r="J31" s="2">
        <v>4.4444444444444446</v>
      </c>
    </row>
    <row r="32" spans="3:10" x14ac:dyDescent="0.25">
      <c r="C32" s="5" t="s">
        <v>73</v>
      </c>
      <c r="D32" s="1">
        <v>13</v>
      </c>
      <c r="F32" s="5" t="s">
        <v>73</v>
      </c>
      <c r="G32" s="2">
        <v>30.307692307692307</v>
      </c>
      <c r="I32" s="5" t="s">
        <v>74</v>
      </c>
      <c r="J32" s="2">
        <v>4.8571428571428568</v>
      </c>
    </row>
    <row r="33" spans="1:10" x14ac:dyDescent="0.25">
      <c r="C33" s="5" t="s">
        <v>74</v>
      </c>
      <c r="D33" s="1">
        <v>20</v>
      </c>
      <c r="F33" s="5" t="s">
        <v>74</v>
      </c>
      <c r="G33" s="2">
        <v>38.5</v>
      </c>
      <c r="I33" s="5" t="s">
        <v>75</v>
      </c>
      <c r="J33" s="2">
        <v>5.5714285714285712</v>
      </c>
    </row>
    <row r="34" spans="1:10" x14ac:dyDescent="0.25">
      <c r="C34" s="5" t="s">
        <v>75</v>
      </c>
      <c r="D34" s="1">
        <v>15</v>
      </c>
      <c r="F34" s="5" t="s">
        <v>75</v>
      </c>
      <c r="G34" s="2">
        <v>35.333333333333336</v>
      </c>
      <c r="I34" s="5" t="s">
        <v>76</v>
      </c>
      <c r="J34" s="2">
        <v>6</v>
      </c>
    </row>
    <row r="35" spans="1:10" x14ac:dyDescent="0.25">
      <c r="C35" s="5" t="s">
        <v>76</v>
      </c>
      <c r="D35" s="1">
        <v>19</v>
      </c>
      <c r="F35" s="5" t="s">
        <v>76</v>
      </c>
      <c r="G35" s="2">
        <v>32.421052631578945</v>
      </c>
      <c r="I35" s="5" t="s">
        <v>60</v>
      </c>
      <c r="J35" s="2">
        <v>4.2</v>
      </c>
    </row>
    <row r="36" spans="1:10" x14ac:dyDescent="0.25">
      <c r="C36" s="5" t="s">
        <v>4</v>
      </c>
      <c r="D36" s="1">
        <v>519</v>
      </c>
      <c r="F36" s="5" t="s">
        <v>4</v>
      </c>
      <c r="G36" s="2">
        <v>35.809248554913296</v>
      </c>
      <c r="I36" s="5" t="s">
        <v>4</v>
      </c>
      <c r="J36" s="2">
        <v>5.1455696202531644</v>
      </c>
    </row>
    <row r="39" spans="1:10" x14ac:dyDescent="0.25">
      <c r="A39" s="4" t="s">
        <v>5</v>
      </c>
      <c r="B39" t="s">
        <v>12</v>
      </c>
      <c r="C39" t="s">
        <v>15</v>
      </c>
    </row>
    <row r="40" spans="1:10" x14ac:dyDescent="0.25">
      <c r="A40" s="5" t="s">
        <v>13</v>
      </c>
      <c r="B40" s="7">
        <v>266</v>
      </c>
      <c r="C40" s="8">
        <v>0.51252408477842004</v>
      </c>
    </row>
    <row r="41" spans="1:10" x14ac:dyDescent="0.25">
      <c r="A41" s="5" t="s">
        <v>14</v>
      </c>
      <c r="B41" s="7">
        <v>253</v>
      </c>
      <c r="C41" s="8">
        <v>0.48747591522157996</v>
      </c>
    </row>
    <row r="42" spans="1:10" x14ac:dyDescent="0.25">
      <c r="A42" s="5" t="s">
        <v>4</v>
      </c>
      <c r="B42" s="2">
        <v>519</v>
      </c>
      <c r="C42" s="8">
        <v>1</v>
      </c>
    </row>
    <row r="46" spans="1:10" x14ac:dyDescent="0.25">
      <c r="A46" s="12" t="s">
        <v>16</v>
      </c>
      <c r="B46" s="12" t="s">
        <v>17</v>
      </c>
      <c r="C46" s="12" t="s">
        <v>18</v>
      </c>
      <c r="D46" s="10"/>
    </row>
    <row r="47" spans="1:10" x14ac:dyDescent="0.25">
      <c r="A47" s="13" t="str">
        <f>A41</f>
        <v>Not Admitted</v>
      </c>
      <c r="B47" s="13">
        <f t="shared" ref="B47:C47" si="0">B41</f>
        <v>253</v>
      </c>
      <c r="C47" s="14">
        <f t="shared" si="0"/>
        <v>0.48747591522157996</v>
      </c>
      <c r="D47" s="11"/>
    </row>
    <row r="48" spans="1:10" x14ac:dyDescent="0.25">
      <c r="A48" s="13" t="str">
        <f>A40</f>
        <v>Admitted</v>
      </c>
      <c r="B48" s="13">
        <f t="shared" ref="B48:C48" si="1">B40</f>
        <v>266</v>
      </c>
      <c r="C48" s="14">
        <f t="shared" si="1"/>
        <v>0.51252408477842004</v>
      </c>
      <c r="D48" s="11"/>
    </row>
    <row r="50" spans="1:3" x14ac:dyDescent="0.25">
      <c r="C50" s="9"/>
    </row>
    <row r="51" spans="1:3" x14ac:dyDescent="0.25">
      <c r="A51" t="s">
        <v>27</v>
      </c>
    </row>
    <row r="52" spans="1:3" x14ac:dyDescent="0.25">
      <c r="A52" s="4" t="s">
        <v>5</v>
      </c>
      <c r="B52" t="s">
        <v>26</v>
      </c>
    </row>
    <row r="53" spans="1:3" x14ac:dyDescent="0.25">
      <c r="A53" s="5" t="s">
        <v>19</v>
      </c>
      <c r="B53" s="7">
        <v>137</v>
      </c>
    </row>
    <row r="54" spans="1:3" x14ac:dyDescent="0.25">
      <c r="A54" s="5" t="s">
        <v>20</v>
      </c>
      <c r="B54" s="7">
        <v>74</v>
      </c>
    </row>
    <row r="55" spans="1:3" x14ac:dyDescent="0.25">
      <c r="A55" s="5" t="s">
        <v>21</v>
      </c>
      <c r="B55" s="7">
        <v>71</v>
      </c>
    </row>
    <row r="56" spans="1:3" x14ac:dyDescent="0.25">
      <c r="A56" s="5" t="s">
        <v>22</v>
      </c>
      <c r="B56" s="7">
        <v>58</v>
      </c>
    </row>
    <row r="57" spans="1:3" x14ac:dyDescent="0.25">
      <c r="A57" s="5" t="s">
        <v>23</v>
      </c>
      <c r="B57" s="7">
        <v>68</v>
      </c>
    </row>
    <row r="58" spans="1:3" x14ac:dyDescent="0.25">
      <c r="A58" s="5" t="s">
        <v>24</v>
      </c>
      <c r="B58" s="7">
        <v>62</v>
      </c>
    </row>
    <row r="59" spans="1:3" x14ac:dyDescent="0.25">
      <c r="A59" s="5" t="s">
        <v>25</v>
      </c>
      <c r="B59" s="7">
        <v>49</v>
      </c>
    </row>
    <row r="60" spans="1:3" x14ac:dyDescent="0.25">
      <c r="A60" s="5" t="s">
        <v>4</v>
      </c>
      <c r="B60" s="2">
        <v>519</v>
      </c>
    </row>
    <row r="63" spans="1:3" x14ac:dyDescent="0.25">
      <c r="A63" s="5" t="s">
        <v>31</v>
      </c>
    </row>
    <row r="64" spans="1:3" x14ac:dyDescent="0.25">
      <c r="A64" s="4" t="s">
        <v>5</v>
      </c>
      <c r="B64" t="s">
        <v>28</v>
      </c>
    </row>
    <row r="65" spans="1:2" x14ac:dyDescent="0.25">
      <c r="A65" s="5" t="s">
        <v>29</v>
      </c>
      <c r="B65" s="7">
        <v>324</v>
      </c>
    </row>
    <row r="66" spans="1:2" x14ac:dyDescent="0.25">
      <c r="A66" s="5" t="s">
        <v>30</v>
      </c>
      <c r="B66" s="7">
        <v>195</v>
      </c>
    </row>
    <row r="67" spans="1:2" x14ac:dyDescent="0.25">
      <c r="A67" s="5" t="s">
        <v>4</v>
      </c>
      <c r="B67" s="2">
        <v>519</v>
      </c>
    </row>
    <row r="70" spans="1:2" x14ac:dyDescent="0.25">
      <c r="A70" s="5" t="s">
        <v>35</v>
      </c>
    </row>
    <row r="71" spans="1:2" x14ac:dyDescent="0.25">
      <c r="A71" s="4" t="s">
        <v>5</v>
      </c>
      <c r="B71" t="s">
        <v>34</v>
      </c>
    </row>
    <row r="72" spans="1:2" x14ac:dyDescent="0.25">
      <c r="A72" s="5" t="s">
        <v>32</v>
      </c>
      <c r="B72" s="7">
        <v>254</v>
      </c>
    </row>
    <row r="73" spans="1:2" x14ac:dyDescent="0.25">
      <c r="A73" s="5" t="s">
        <v>33</v>
      </c>
      <c r="B73" s="7">
        <v>265</v>
      </c>
    </row>
    <row r="74" spans="1:2" x14ac:dyDescent="0.25">
      <c r="A74" s="5" t="s">
        <v>4</v>
      </c>
      <c r="B74" s="2">
        <v>519</v>
      </c>
    </row>
    <row r="78" spans="1:2" x14ac:dyDescent="0.25">
      <c r="A78" s="4" t="s">
        <v>5</v>
      </c>
      <c r="B78" t="s">
        <v>44</v>
      </c>
    </row>
    <row r="79" spans="1:2" x14ac:dyDescent="0.25">
      <c r="A79" s="5" t="s">
        <v>43</v>
      </c>
      <c r="B79" s="7">
        <v>3</v>
      </c>
    </row>
    <row r="80" spans="1:2" x14ac:dyDescent="0.25">
      <c r="A80" s="5" t="s">
        <v>37</v>
      </c>
      <c r="B80" s="7">
        <v>8</v>
      </c>
    </row>
    <row r="81" spans="1:2" x14ac:dyDescent="0.25">
      <c r="A81" s="5" t="s">
        <v>36</v>
      </c>
      <c r="B81" s="7">
        <v>11</v>
      </c>
    </row>
    <row r="82" spans="1:2" x14ac:dyDescent="0.25">
      <c r="A82" s="5" t="s">
        <v>42</v>
      </c>
      <c r="B82" s="7">
        <v>15</v>
      </c>
    </row>
    <row r="83" spans="1:2" x14ac:dyDescent="0.25">
      <c r="A83" s="5" t="s">
        <v>39</v>
      </c>
      <c r="B83" s="7">
        <v>16</v>
      </c>
    </row>
    <row r="84" spans="1:2" x14ac:dyDescent="0.25">
      <c r="A84" s="5" t="s">
        <v>41</v>
      </c>
      <c r="B84" s="7">
        <v>51</v>
      </c>
    </row>
    <row r="85" spans="1:2" x14ac:dyDescent="0.25">
      <c r="A85" s="5" t="s">
        <v>38</v>
      </c>
      <c r="B85" s="7">
        <v>102</v>
      </c>
    </row>
    <row r="86" spans="1:2" x14ac:dyDescent="0.25">
      <c r="A86" s="5" t="s">
        <v>40</v>
      </c>
      <c r="B86" s="7">
        <v>313</v>
      </c>
    </row>
    <row r="87" spans="1:2" x14ac:dyDescent="0.25">
      <c r="A87" s="5" t="s">
        <v>4</v>
      </c>
      <c r="B87" s="2">
        <v>519</v>
      </c>
    </row>
    <row r="90" spans="1:2" x14ac:dyDescent="0.25">
      <c r="A90" s="4" t="s">
        <v>5</v>
      </c>
    </row>
    <row r="91" spans="1:2" x14ac:dyDescent="0.25">
      <c r="A91" s="5" t="s">
        <v>45</v>
      </c>
    </row>
    <row r="92" spans="1:2" x14ac:dyDescent="0.25">
      <c r="A92"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DE6A-EC2E-46C2-9BB1-8481A6BBE2A3}">
  <dimension ref="A1:Q20"/>
  <sheetViews>
    <sheetView tabSelected="1" zoomScale="130" zoomScaleNormal="130" workbookViewId="0">
      <selection activeCell="Q8" sqref="Q8"/>
    </sheetView>
  </sheetViews>
  <sheetFormatPr defaultRowHeight="15" x14ac:dyDescent="0.25"/>
  <sheetData>
    <row r="1" spans="1:17" x14ac:dyDescent="0.25">
      <c r="A1" s="3"/>
      <c r="B1" s="3"/>
      <c r="C1" s="3"/>
      <c r="D1" s="3"/>
      <c r="E1" s="3"/>
      <c r="F1" s="3"/>
      <c r="G1" s="3"/>
      <c r="H1" s="3"/>
      <c r="I1" s="3"/>
      <c r="J1" s="3"/>
      <c r="K1" s="3"/>
      <c r="L1" s="3"/>
      <c r="M1" s="3"/>
      <c r="N1" s="3"/>
      <c r="O1" s="3"/>
      <c r="P1" s="3"/>
      <c r="Q1" s="3"/>
    </row>
    <row r="2" spans="1:17" x14ac:dyDescent="0.25">
      <c r="A2" s="3"/>
      <c r="B2" s="3"/>
      <c r="C2" s="3"/>
      <c r="D2" s="3"/>
      <c r="E2" s="3"/>
      <c r="F2" s="3"/>
      <c r="G2" s="3"/>
      <c r="H2" s="3"/>
      <c r="I2" s="3"/>
      <c r="J2" s="3"/>
      <c r="K2" s="3"/>
      <c r="L2" s="3"/>
      <c r="M2" s="3"/>
      <c r="N2" s="3"/>
      <c r="O2" s="3"/>
      <c r="P2" s="3"/>
      <c r="Q2" s="3"/>
    </row>
    <row r="3" spans="1:17" x14ac:dyDescent="0.25">
      <c r="A3" s="3"/>
      <c r="B3" s="3"/>
      <c r="C3" s="3"/>
      <c r="D3" s="3"/>
      <c r="E3" s="3"/>
      <c r="F3" s="3"/>
      <c r="G3" s="3"/>
      <c r="H3" s="3"/>
      <c r="I3" s="3"/>
      <c r="J3" s="3"/>
      <c r="K3" s="3"/>
      <c r="L3" s="3"/>
      <c r="M3" s="3"/>
      <c r="N3" s="3"/>
      <c r="O3" s="3"/>
      <c r="P3" s="3"/>
      <c r="Q3" s="3"/>
    </row>
    <row r="4" spans="1:17" x14ac:dyDescent="0.25">
      <c r="A4" s="3"/>
      <c r="B4" s="3"/>
      <c r="C4" s="3"/>
      <c r="D4" s="3"/>
      <c r="E4" s="3"/>
      <c r="F4" s="3"/>
      <c r="G4" s="3"/>
      <c r="H4" s="3"/>
      <c r="I4" s="3"/>
      <c r="J4" s="3"/>
      <c r="K4" s="3"/>
      <c r="L4" s="3"/>
      <c r="M4" s="3"/>
      <c r="N4" s="3"/>
      <c r="O4" s="3"/>
      <c r="P4" s="3"/>
      <c r="Q4" s="3"/>
    </row>
    <row r="5" spans="1:17" x14ac:dyDescent="0.25">
      <c r="A5" s="3"/>
      <c r="B5" s="3"/>
      <c r="C5" s="3"/>
      <c r="D5" s="3"/>
      <c r="E5" s="3"/>
      <c r="F5" s="3"/>
      <c r="G5" s="3"/>
      <c r="H5" s="3"/>
      <c r="I5" s="3"/>
      <c r="J5" s="3"/>
      <c r="K5" s="3"/>
      <c r="L5" s="3"/>
      <c r="M5" s="3"/>
      <c r="N5" s="3"/>
      <c r="O5" s="3"/>
      <c r="P5" s="3"/>
      <c r="Q5" s="3"/>
    </row>
    <row r="6" spans="1:17" x14ac:dyDescent="0.25">
      <c r="A6" s="3"/>
      <c r="B6" s="3"/>
      <c r="C6" s="3"/>
      <c r="D6" s="3"/>
      <c r="E6" s="3"/>
      <c r="F6" s="3"/>
      <c r="G6" s="3"/>
      <c r="H6" s="3"/>
      <c r="I6" s="3"/>
      <c r="J6" s="3"/>
      <c r="K6" s="3"/>
      <c r="L6" s="3"/>
      <c r="M6" s="3"/>
      <c r="N6" s="3"/>
      <c r="O6" s="3"/>
      <c r="P6" s="3"/>
      <c r="Q6" s="3"/>
    </row>
    <row r="7" spans="1:17" x14ac:dyDescent="0.25">
      <c r="A7" s="3"/>
      <c r="B7" s="3"/>
      <c r="C7" s="3"/>
      <c r="D7" s="3"/>
      <c r="E7" s="3"/>
      <c r="F7" s="3"/>
      <c r="G7" s="3"/>
      <c r="H7" s="3"/>
      <c r="I7" s="3"/>
      <c r="J7" s="3"/>
      <c r="K7" s="3"/>
      <c r="L7" s="3"/>
      <c r="M7" s="3"/>
      <c r="N7" s="3"/>
      <c r="O7" s="3"/>
      <c r="P7" s="3"/>
      <c r="Q7" s="3"/>
    </row>
    <row r="8" spans="1:17" x14ac:dyDescent="0.25">
      <c r="A8" s="3"/>
      <c r="B8" s="3"/>
      <c r="C8" s="3"/>
      <c r="D8" s="3"/>
      <c r="E8" s="3"/>
      <c r="F8" s="3"/>
      <c r="G8" s="3"/>
      <c r="H8" s="3"/>
      <c r="I8" s="3"/>
      <c r="J8" s="3"/>
      <c r="K8" s="3"/>
      <c r="L8" s="3"/>
      <c r="M8" s="3"/>
      <c r="N8" s="3"/>
      <c r="O8" s="3"/>
      <c r="P8" s="3"/>
      <c r="Q8" s="3"/>
    </row>
    <row r="9" spans="1:17" x14ac:dyDescent="0.25">
      <c r="A9" s="3"/>
      <c r="B9" s="3"/>
      <c r="C9" s="3"/>
      <c r="D9" s="3"/>
      <c r="E9" s="3"/>
      <c r="F9" s="3"/>
      <c r="G9" s="3"/>
      <c r="H9" s="3"/>
      <c r="I9" s="3"/>
      <c r="J9" s="3"/>
      <c r="K9" s="3"/>
      <c r="L9" s="3"/>
      <c r="M9" s="3"/>
      <c r="N9" s="3"/>
      <c r="O9" s="3"/>
      <c r="P9" s="3"/>
      <c r="Q9" s="3"/>
    </row>
    <row r="10" spans="1:17" x14ac:dyDescent="0.25">
      <c r="A10" s="3"/>
      <c r="B10" s="3"/>
      <c r="C10" s="3"/>
      <c r="D10" s="3"/>
      <c r="E10" s="3"/>
      <c r="F10" s="3"/>
      <c r="G10" s="3"/>
      <c r="H10" s="3"/>
      <c r="I10" s="3"/>
      <c r="J10" s="3"/>
      <c r="K10" s="3"/>
      <c r="L10" s="3"/>
      <c r="M10" s="3"/>
      <c r="N10" s="3"/>
      <c r="O10" s="3"/>
      <c r="P10" s="3"/>
      <c r="Q10" s="3"/>
    </row>
    <row r="11" spans="1:17" x14ac:dyDescent="0.25">
      <c r="A11" s="3"/>
      <c r="B11" s="3"/>
      <c r="C11" s="3"/>
      <c r="D11" s="3"/>
      <c r="E11" s="3"/>
      <c r="F11" s="3"/>
      <c r="G11" s="3"/>
      <c r="H11" s="3"/>
      <c r="I11" s="3"/>
      <c r="J11" s="3"/>
      <c r="K11" s="3"/>
      <c r="L11" s="3"/>
      <c r="M11" s="3"/>
      <c r="N11" s="3"/>
      <c r="O11" s="3"/>
      <c r="P11" s="3"/>
      <c r="Q11" s="3"/>
    </row>
    <row r="12" spans="1:17" x14ac:dyDescent="0.25">
      <c r="A12" s="3"/>
      <c r="B12" s="3"/>
      <c r="C12" s="3"/>
      <c r="D12" s="3"/>
      <c r="E12" s="3"/>
      <c r="F12" s="3"/>
      <c r="G12" s="3"/>
      <c r="H12" s="3"/>
      <c r="I12" s="3"/>
      <c r="J12" s="3"/>
      <c r="K12" s="3"/>
      <c r="L12" s="3"/>
      <c r="M12" s="3"/>
      <c r="N12" s="3"/>
      <c r="O12" s="3"/>
      <c r="P12" s="3"/>
      <c r="Q12" s="3"/>
    </row>
    <row r="13" spans="1:17" x14ac:dyDescent="0.25">
      <c r="A13" s="3"/>
      <c r="B13" s="3"/>
      <c r="C13" s="3"/>
      <c r="D13" s="3"/>
      <c r="E13" s="3"/>
      <c r="F13" s="3"/>
      <c r="G13" s="3"/>
      <c r="H13" s="3"/>
      <c r="I13" s="3"/>
      <c r="J13" s="3"/>
      <c r="K13" s="3"/>
      <c r="L13" s="3"/>
      <c r="M13" s="3"/>
      <c r="N13" s="3"/>
      <c r="O13" s="3"/>
      <c r="P13" s="3"/>
      <c r="Q13" s="3"/>
    </row>
    <row r="14" spans="1:17" x14ac:dyDescent="0.25">
      <c r="A14" s="3"/>
      <c r="B14" s="3"/>
      <c r="C14" s="3"/>
      <c r="D14" s="3"/>
      <c r="E14" s="3"/>
      <c r="F14" s="3"/>
      <c r="G14" s="3"/>
      <c r="H14" s="3"/>
      <c r="I14" s="3"/>
      <c r="J14" s="3"/>
      <c r="K14" s="3"/>
      <c r="L14" s="3"/>
      <c r="M14" s="3"/>
      <c r="N14" s="3"/>
      <c r="O14" s="3"/>
      <c r="P14" s="3"/>
      <c r="Q14" s="3"/>
    </row>
    <row r="15" spans="1:17" x14ac:dyDescent="0.25">
      <c r="A15" s="3"/>
      <c r="B15" s="3"/>
      <c r="C15" s="3"/>
      <c r="D15" s="3"/>
      <c r="E15" s="3"/>
      <c r="F15" s="3"/>
      <c r="G15" s="3"/>
      <c r="H15" s="3"/>
      <c r="I15" s="3"/>
      <c r="J15" s="3"/>
      <c r="K15" s="3"/>
      <c r="L15" s="3"/>
      <c r="M15" s="3"/>
      <c r="N15" s="3"/>
      <c r="O15" s="3"/>
      <c r="P15" s="3"/>
      <c r="Q15" s="3"/>
    </row>
    <row r="16" spans="1:17" x14ac:dyDescent="0.25">
      <c r="A16" s="3"/>
      <c r="B16" s="3"/>
      <c r="C16" s="3"/>
      <c r="D16" s="3"/>
      <c r="E16" s="3"/>
      <c r="F16" s="3"/>
      <c r="G16" s="3"/>
      <c r="H16" s="3"/>
      <c r="I16" s="3"/>
      <c r="J16" s="3"/>
      <c r="K16" s="3"/>
      <c r="L16" s="3"/>
      <c r="M16" s="3"/>
      <c r="N16" s="3"/>
      <c r="O16" s="3"/>
      <c r="P16" s="3"/>
      <c r="Q16" s="3"/>
    </row>
    <row r="17" spans="1:17" x14ac:dyDescent="0.25">
      <c r="A17" s="3"/>
      <c r="B17" s="3"/>
      <c r="C17" s="3"/>
      <c r="D17" s="3"/>
      <c r="E17" s="3"/>
      <c r="F17" s="3"/>
      <c r="G17" s="3"/>
      <c r="H17" s="3"/>
      <c r="I17" s="3"/>
      <c r="J17" s="3"/>
      <c r="K17" s="3"/>
      <c r="L17" s="3"/>
      <c r="M17" s="3"/>
      <c r="N17" s="3"/>
      <c r="O17" s="3"/>
      <c r="P17" s="3"/>
      <c r="Q17" s="3"/>
    </row>
    <row r="18" spans="1:17" x14ac:dyDescent="0.25">
      <c r="A18" s="3"/>
      <c r="B18" s="3"/>
      <c r="C18" s="3"/>
      <c r="D18" s="3"/>
      <c r="E18" s="3"/>
      <c r="F18" s="3"/>
      <c r="G18" s="3"/>
      <c r="H18" s="3"/>
      <c r="I18" s="3"/>
      <c r="J18" s="3"/>
      <c r="K18" s="3"/>
      <c r="L18" s="3"/>
      <c r="M18" s="3"/>
      <c r="N18" s="3"/>
      <c r="O18" s="3"/>
      <c r="P18" s="3"/>
      <c r="Q18" s="3"/>
    </row>
    <row r="20" spans="1:17" ht="15.75" x14ac:dyDescent="0.25">
      <c r="D20" s="1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5BA1-24DD-491D-BC61-EE45A593CD14}">
  <dimension ref="A1:P18"/>
  <sheetViews>
    <sheetView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t="s">
        <v>8</v>
      </c>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D36A-0D9D-41F8-B1F7-901C0E247012}">
  <dimension ref="A1:K19"/>
  <sheetViews>
    <sheetView workbookViewId="0"/>
  </sheetViews>
  <sheetFormatPr defaultRowHeight="15" x14ac:dyDescent="0.25"/>
  <sheetData>
    <row r="1" spans="1:11" x14ac:dyDescent="0.25">
      <c r="A1" s="6"/>
      <c r="B1" s="6"/>
      <c r="C1" s="6"/>
      <c r="D1" s="6"/>
      <c r="E1" s="6"/>
      <c r="F1" s="6"/>
      <c r="G1" s="6"/>
      <c r="H1" s="6"/>
      <c r="I1" s="6"/>
      <c r="J1" s="6"/>
      <c r="K1" s="6"/>
    </row>
    <row r="2" spans="1:11" x14ac:dyDescent="0.25">
      <c r="A2" s="6"/>
      <c r="B2" s="6"/>
      <c r="C2" s="6"/>
      <c r="D2" s="6"/>
      <c r="E2" s="6"/>
      <c r="F2" s="6"/>
      <c r="G2" s="6"/>
      <c r="H2" s="6"/>
      <c r="I2" s="6"/>
      <c r="J2" s="6"/>
      <c r="K2" s="6"/>
    </row>
    <row r="3" spans="1:11" x14ac:dyDescent="0.25">
      <c r="A3" s="6"/>
      <c r="B3" s="6"/>
      <c r="C3" s="6"/>
      <c r="D3" s="6"/>
      <c r="E3" s="6"/>
      <c r="F3" s="6"/>
      <c r="G3" s="6"/>
      <c r="H3" s="6"/>
      <c r="I3" s="6"/>
      <c r="J3" s="6"/>
      <c r="K3" s="6"/>
    </row>
    <row r="4" spans="1:11" x14ac:dyDescent="0.25">
      <c r="A4" s="6"/>
      <c r="B4" s="6"/>
      <c r="C4" s="6"/>
      <c r="D4" s="6"/>
      <c r="E4" s="6"/>
      <c r="F4" s="6"/>
      <c r="G4" s="6"/>
      <c r="H4" s="6"/>
      <c r="I4" s="6"/>
      <c r="J4" s="6"/>
      <c r="K4" s="6"/>
    </row>
    <row r="5" spans="1:11" x14ac:dyDescent="0.25">
      <c r="A5" s="6"/>
      <c r="B5" s="6"/>
      <c r="C5" s="6"/>
      <c r="D5" s="6"/>
      <c r="E5" s="6"/>
      <c r="F5" s="6"/>
      <c r="G5" s="6"/>
      <c r="H5" s="6"/>
      <c r="I5" s="6"/>
      <c r="J5" s="6"/>
      <c r="K5" s="6"/>
    </row>
    <row r="6" spans="1:11" x14ac:dyDescent="0.25">
      <c r="A6" s="6"/>
      <c r="B6" s="6"/>
      <c r="C6" s="6"/>
      <c r="D6" s="6"/>
      <c r="E6" s="6"/>
      <c r="F6" s="6"/>
      <c r="G6" s="6"/>
      <c r="H6" s="6"/>
      <c r="I6" s="6"/>
      <c r="J6" s="6"/>
      <c r="K6" s="6"/>
    </row>
    <row r="7" spans="1:11" x14ac:dyDescent="0.25">
      <c r="A7" s="6"/>
      <c r="B7" s="6"/>
      <c r="C7" s="6"/>
      <c r="D7" s="6"/>
      <c r="E7" s="6"/>
      <c r="F7" s="6"/>
      <c r="G7" s="6"/>
      <c r="H7" s="6"/>
      <c r="I7" s="6"/>
      <c r="J7" s="6"/>
      <c r="K7" s="6"/>
    </row>
    <row r="8" spans="1:11" x14ac:dyDescent="0.25">
      <c r="A8" s="6"/>
      <c r="B8" s="6"/>
      <c r="C8" s="6"/>
      <c r="D8" s="6"/>
      <c r="E8" s="6"/>
      <c r="F8" s="6"/>
      <c r="G8" s="6"/>
      <c r="H8" s="6"/>
      <c r="I8" s="6"/>
      <c r="J8" s="6"/>
      <c r="K8" s="6"/>
    </row>
    <row r="9" spans="1:11" x14ac:dyDescent="0.25">
      <c r="A9" s="6"/>
      <c r="B9" s="6"/>
      <c r="C9" s="6"/>
      <c r="D9" s="6"/>
      <c r="E9" s="6"/>
      <c r="F9" s="6"/>
      <c r="G9" s="6"/>
      <c r="H9" s="6"/>
      <c r="I9" s="6"/>
      <c r="J9" s="6"/>
      <c r="K9" s="6"/>
    </row>
    <row r="10" spans="1:11" x14ac:dyDescent="0.25">
      <c r="A10" s="6"/>
      <c r="B10" s="6"/>
      <c r="C10" s="6"/>
      <c r="D10" s="6"/>
      <c r="E10" s="6"/>
      <c r="F10" s="6"/>
      <c r="G10" s="6"/>
      <c r="H10" s="6"/>
      <c r="I10" s="6"/>
      <c r="J10" s="6"/>
      <c r="K10" s="6"/>
    </row>
    <row r="11" spans="1:11" x14ac:dyDescent="0.25">
      <c r="A11" s="6"/>
      <c r="B11" s="6"/>
      <c r="C11" s="6"/>
      <c r="D11" s="6"/>
      <c r="E11" s="6"/>
      <c r="F11" s="6"/>
      <c r="G11" s="6"/>
      <c r="H11" s="6"/>
      <c r="I11" s="6"/>
      <c r="J11" s="6"/>
      <c r="K11" s="6"/>
    </row>
    <row r="12" spans="1:11" x14ac:dyDescent="0.25">
      <c r="A12" s="6"/>
      <c r="B12" s="6"/>
      <c r="C12" s="6"/>
      <c r="D12" s="6"/>
      <c r="E12" s="6"/>
      <c r="F12" s="6"/>
      <c r="G12" s="6"/>
      <c r="H12" s="6"/>
      <c r="I12" s="6"/>
      <c r="J12" s="6"/>
      <c r="K12" s="6"/>
    </row>
    <row r="13" spans="1:11" x14ac:dyDescent="0.25">
      <c r="A13" s="6"/>
      <c r="B13" s="6"/>
      <c r="C13" s="6"/>
      <c r="D13" s="6"/>
      <c r="E13" s="6"/>
      <c r="F13" s="6"/>
      <c r="G13" s="6"/>
      <c r="H13" s="6"/>
      <c r="I13" s="6"/>
      <c r="J13" s="6"/>
      <c r="K13" s="6"/>
    </row>
    <row r="14" spans="1:11" x14ac:dyDescent="0.25">
      <c r="A14" s="6"/>
      <c r="B14" s="6"/>
      <c r="C14" s="6"/>
      <c r="D14" s="6"/>
      <c r="E14" s="6"/>
      <c r="F14" s="6"/>
      <c r="G14" s="6"/>
      <c r="H14" s="6"/>
      <c r="I14" s="6"/>
      <c r="J14" s="6"/>
      <c r="K14" s="6"/>
    </row>
    <row r="15" spans="1:11" x14ac:dyDescent="0.25">
      <c r="A15" s="6"/>
      <c r="B15" s="6" t="s">
        <v>9</v>
      </c>
      <c r="C15" s="6"/>
      <c r="D15" s="6"/>
      <c r="E15" s="6"/>
      <c r="F15" s="6"/>
      <c r="G15" s="6"/>
      <c r="H15" s="6"/>
      <c r="I15" s="6"/>
      <c r="J15" s="6"/>
      <c r="K15" s="6"/>
    </row>
    <row r="16" spans="1:11" x14ac:dyDescent="0.25">
      <c r="A16" s="6"/>
      <c r="B16" s="6"/>
      <c r="C16" s="6"/>
      <c r="D16" s="6"/>
      <c r="E16" s="6"/>
      <c r="F16" s="6"/>
      <c r="G16" s="6"/>
      <c r="H16" s="6"/>
      <c r="I16" s="6"/>
      <c r="J16" s="6"/>
      <c r="K16" s="6"/>
    </row>
    <row r="17" spans="1:11" x14ac:dyDescent="0.25">
      <c r="A17" s="6"/>
      <c r="B17" s="6"/>
      <c r="C17" s="6"/>
      <c r="D17" s="6"/>
      <c r="E17" s="6"/>
      <c r="F17" s="6"/>
      <c r="G17" s="6"/>
      <c r="H17" s="6"/>
      <c r="I17" s="6"/>
      <c r="J17" s="6"/>
      <c r="K17" s="6"/>
    </row>
    <row r="18" spans="1:11" x14ac:dyDescent="0.25">
      <c r="A18" s="6"/>
      <c r="B18" s="6"/>
      <c r="C18" s="6"/>
      <c r="D18" s="6"/>
      <c r="E18" s="6"/>
      <c r="F18" s="6"/>
      <c r="G18" s="6"/>
      <c r="H18" s="6"/>
      <c r="I18" s="6"/>
      <c r="J18" s="6"/>
      <c r="K18" s="6"/>
    </row>
    <row r="19" spans="1:11" x14ac:dyDescent="0.25">
      <c r="A19" s="6"/>
      <c r="B19" s="6"/>
      <c r="C19" s="6"/>
      <c r="D19" s="6"/>
      <c r="E19" s="6"/>
      <c r="F19" s="6"/>
      <c r="G19" s="6"/>
      <c r="H19" s="6"/>
      <c r="I19" s="6"/>
      <c r="J19" s="6"/>
      <c r="K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D30-6D51-454A-A12E-4B8D8DDBDB8C}">
  <dimension ref="A1:P18"/>
  <sheetViews>
    <sheetView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t="s">
        <v>11</v>
      </c>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D9320C1-8CF8-4630-B3F7-3A478AABE44B}">
  <ds:schemaRefs/>
</ds:datastoreItem>
</file>

<file path=customXml/itemProps2.xml><?xml version="1.0" encoding="utf-8"?>
<ds:datastoreItem xmlns:ds="http://schemas.openxmlformats.org/officeDocument/2006/customXml" ds:itemID="{121F0684-3313-422A-AFCC-5E9690C5451C}">
  <ds:schemaRefs/>
</ds:datastoreItem>
</file>

<file path=customXml/itemProps3.xml><?xml version="1.0" encoding="utf-8"?>
<ds:datastoreItem xmlns:ds="http://schemas.openxmlformats.org/officeDocument/2006/customXml" ds:itemID="{56987A54-EF20-4685-82F0-E51F380422B8}">
  <ds:schemaRefs/>
</ds:datastoreItem>
</file>

<file path=customXml/itemProps4.xml><?xml version="1.0" encoding="utf-8"?>
<ds:datastoreItem xmlns:ds="http://schemas.openxmlformats.org/officeDocument/2006/customXml" ds:itemID="{2C75A19D-22A2-4F94-BB06-4F070E86FA6B}">
  <ds:schemaRefs/>
</ds:datastoreItem>
</file>

<file path=customXml/itemProps5.xml><?xml version="1.0" encoding="utf-8"?>
<ds:datastoreItem xmlns:ds="http://schemas.openxmlformats.org/officeDocument/2006/customXml" ds:itemID="{CCEFE3C7-DA77-47C6-AB73-69EB9F1F7F5E}">
  <ds:schemaRefs/>
</ds:datastoreItem>
</file>

<file path=customXml/itemProps6.xml><?xml version="1.0" encoding="utf-8"?>
<ds:datastoreItem xmlns:ds="http://schemas.openxmlformats.org/officeDocument/2006/customXml" ds:itemID="{7E91B0A5-6AF7-4DEF-904D-9FFE5A77D3F7}">
  <ds:schemaRefs/>
</ds:datastoreItem>
</file>

<file path=customXml/itemProps7.xml><?xml version="1.0" encoding="utf-8"?>
<ds:datastoreItem xmlns:ds="http://schemas.openxmlformats.org/officeDocument/2006/customXml" ds:itemID="{1FFC764C-E846-49CA-8720-FE1797446FF9}">
  <ds:schemaRefs/>
</ds:datastoreItem>
</file>

<file path=customXml/itemProps8.xml><?xml version="1.0" encoding="utf-8"?>
<ds:datastoreItem xmlns:ds="http://schemas.openxmlformats.org/officeDocument/2006/customXml" ds:itemID="{969466BC-3996-4E3E-8502-E299CE10B1A2}">
  <ds:schemaRefs/>
</ds:datastoreItem>
</file>

<file path=customXml/itemProps9.xml><?xml version="1.0" encoding="utf-8"?>
<ds:datastoreItem xmlns:ds="http://schemas.openxmlformats.org/officeDocument/2006/customXml" ds:itemID="{163DE3A5-A0AB-43CB-B8FF-2DFFA7934789}">
  <ds:schemaRefs/>
</ds:datastoreItem>
</file>

<file path=customXml/itemProps10.xml><?xml version="1.0" encoding="utf-8"?>
<ds:datastoreItem xmlns:ds="http://schemas.openxmlformats.org/officeDocument/2006/customXml" ds:itemID="{15B08C64-87E9-4FBC-91FB-D137382C8428}">
  <ds:schemaRefs/>
</ds:datastoreItem>
</file>

<file path=customXml/itemProps11.xml><?xml version="1.0" encoding="utf-8"?>
<ds:datastoreItem xmlns:ds="http://schemas.openxmlformats.org/officeDocument/2006/customXml" ds:itemID="{452CDFE6-98A0-4D1D-888D-C1B356B83C95}">
  <ds:schemaRefs/>
</ds:datastoreItem>
</file>

<file path=customXml/itemProps12.xml><?xml version="1.0" encoding="utf-8"?>
<ds:datastoreItem xmlns:ds="http://schemas.openxmlformats.org/officeDocument/2006/customXml" ds:itemID="{53A5DF18-B181-44FF-ADAF-324B7D7F601B}">
  <ds:schemaRefs>
    <ds:schemaRef ds:uri="http://schemas.microsoft.com/DataMashup"/>
  </ds:schemaRefs>
</ds:datastoreItem>
</file>

<file path=customXml/itemProps13.xml><?xml version="1.0" encoding="utf-8"?>
<ds:datastoreItem xmlns:ds="http://schemas.openxmlformats.org/officeDocument/2006/customXml" ds:itemID="{CC936F94-EB9E-4D69-8674-0A1EEA318F20}">
  <ds:schemaRefs/>
</ds:datastoreItem>
</file>

<file path=customXml/itemProps14.xml><?xml version="1.0" encoding="utf-8"?>
<ds:datastoreItem xmlns:ds="http://schemas.openxmlformats.org/officeDocument/2006/customXml" ds:itemID="{9C6CFDC1-B04B-459A-B385-D9704B204040}">
  <ds:schemaRefs/>
</ds:datastoreItem>
</file>

<file path=customXml/itemProps15.xml><?xml version="1.0" encoding="utf-8"?>
<ds:datastoreItem xmlns:ds="http://schemas.openxmlformats.org/officeDocument/2006/customXml" ds:itemID="{7817D5F5-824B-4515-AD66-A435D575A938}">
  <ds:schemaRefs/>
</ds:datastoreItem>
</file>

<file path=customXml/itemProps16.xml><?xml version="1.0" encoding="utf-8"?>
<ds:datastoreItem xmlns:ds="http://schemas.openxmlformats.org/officeDocument/2006/customXml" ds:itemID="{E0805165-E673-48FF-8CF7-0594500BBC8B}">
  <ds:schemaRefs/>
</ds:datastoreItem>
</file>

<file path=customXml/itemProps17.xml><?xml version="1.0" encoding="utf-8"?>
<ds:datastoreItem xmlns:ds="http://schemas.openxmlformats.org/officeDocument/2006/customXml" ds:itemID="{D47AFD5E-50A3-4923-9D2A-A6A0B612261C}">
  <ds:schemaRefs/>
</ds:datastoreItem>
</file>

<file path=customXml/itemProps18.xml><?xml version="1.0" encoding="utf-8"?>
<ds:datastoreItem xmlns:ds="http://schemas.openxmlformats.org/officeDocument/2006/customXml" ds:itemID="{0FC06C6F-EAF4-47F5-BB5F-60E1539AEC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Shafik Ansari</dc:creator>
  <cp:lastModifiedBy>Shafik Ansari</cp:lastModifiedBy>
  <dcterms:created xsi:type="dcterms:W3CDTF">2026-07-02T08:15:35Z</dcterms:created>
  <dcterms:modified xsi:type="dcterms:W3CDTF">2026-07-08T16:03:43Z</dcterms:modified>
</cp:coreProperties>
</file>